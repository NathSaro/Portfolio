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62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than/Desktop/"/>
    </mc:Choice>
  </mc:AlternateContent>
  <xr:revisionPtr revIDLastSave="0" documentId="13_ncr:1_{E5530D1D-E471-0247-B140-D7A185613FAA}" xr6:coauthVersionLast="47" xr6:coauthVersionMax="47" xr10:uidLastSave="{00000000-0000-0000-0000-000000000000}"/>
  <bookViews>
    <workbookView xWindow="0" yWindow="500" windowWidth="28800" windowHeight="15920" xr2:uid="{BD12E084-36B2-B545-A7A5-B253DC83FDD1}"/>
  </bookViews>
  <sheets>
    <sheet name="Sheet1" sheetId="2" r:id="rId1"/>
    <sheet name="Assesmt2_PV" sheetId="3" r:id="rId2"/>
    <sheet name="TARGET" sheetId="1" r:id="rId3"/>
  </sheets>
  <functionGroups builtInGroupCount="19"/>
  <externalReferences>
    <externalReference r:id="rId4"/>
    <externalReference r:id="rId5"/>
  </externalReferences>
  <definedNames>
    <definedName name="_xlnm._FilterDatabase" localSheetId="0" hidden="1">Sheet1!$AD$7:$AI$60</definedName>
    <definedName name="BdAdjusted">Sheet1!$H$8:$H$60</definedName>
    <definedName name="Df">Sheet1!$O$8:$O$60</definedName>
    <definedName name="Df3w">Sheet1!$O$14</definedName>
    <definedName name="DfDates">[1]CurveBuilder!$AM$8:$AM$34</definedName>
    <definedName name="DfFRAC3w">Sheet1!$L$14</definedName>
    <definedName name="DfValues">[1]CurveBuilder!$AN$8:$AN$34</definedName>
    <definedName name="enddate">[2]Sheet2!$B$3</definedName>
    <definedName name="Future1">Sheet1!$F$15</definedName>
    <definedName name="PricerDate">Sheet1!$C$2</definedName>
    <definedName name="Quote3w">Sheet1!$M$14</definedName>
    <definedName name="rate">[2]Sheet2!$B$1</definedName>
    <definedName name="Selected">Sheet1!$I$8:$I$60</definedName>
    <definedName name="Source">Sheet1!$C$8:$C$60</definedName>
    <definedName name="SpotNext" localSheetId="1">[1]CurveBuilder!$C$3</definedName>
    <definedName name="SpotNext">Sheet1!$C$3</definedName>
    <definedName name="startdate">[2]Sheet2!$B$2</definedName>
    <definedName name="TABLE1">Sheet1!$W$8:$AB$60</definedName>
    <definedName name="TABLE2">Sheet1!$AD$8:$AI$60</definedName>
    <definedName name="TARGETCalendar" localSheetId="1">[1]Target!$D$13:$D$258</definedName>
    <definedName name="TARGETCalendar">TARGET!$D$13:$D$258</definedName>
    <definedName name="TARGETNbOfYear">TARGET!$G$3</definedName>
    <definedName name="TARGETNbOfYears">L3C7</definedName>
    <definedName name="TARGETOutput">TARGET!$B$12</definedName>
    <definedName name="TARGETStartYear">TARGET!$G$2</definedName>
    <definedName name="Today">Sheet1!$C$1</definedName>
    <definedName name="UsedRate">Sheet1!$N$8:$N$60</definedName>
    <definedName name="Zc">Sheet1!$Q$8:$Q$60</definedName>
  </definedNames>
  <calcPr calcId="191029" iterateDelta="1E-4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1" i="2" l="1"/>
  <c r="S8" i="2" a="1"/>
  <c r="S8" i="2" s="1"/>
  <c r="X3" i="2" a="1"/>
  <c r="X3" i="2" s="1"/>
  <c r="P31" i="2"/>
  <c r="W8" i="2" l="1" a="1"/>
  <c r="W8" i="2" s="1"/>
  <c r="AA4" i="2"/>
  <c r="U31" i="2" a="1"/>
  <c r="U31" i="2" s="1"/>
  <c r="S31" i="2" a="1"/>
  <c r="S31" i="2" s="1"/>
  <c r="U15" i="2" a="1"/>
  <c r="U15" i="2" s="1"/>
  <c r="S15" i="2" a="1"/>
  <c r="S15" i="2" s="1"/>
  <c r="U8" i="2" a="1"/>
  <c r="U8" i="2" s="1"/>
  <c r="AB8" i="2" a="1"/>
  <c r="AB8" i="2" s="1"/>
  <c r="X8" i="2" a="1"/>
  <c r="X8" i="2" s="1"/>
  <c r="X2" i="2" l="1"/>
  <c r="C2" i="2" l="1"/>
  <c r="D1" i="2"/>
  <c r="H8" i="2" l="1"/>
  <c r="F8" i="2"/>
  <c r="G8" i="2" s="1"/>
  <c r="F10" i="2"/>
  <c r="H9" i="2"/>
  <c r="H11" i="2"/>
  <c r="C3" i="2"/>
  <c r="H10" i="2"/>
  <c r="F9" i="2"/>
  <c r="G9" i="2" s="1"/>
  <c r="H7" i="1"/>
  <c r="F15" i="2" a="1"/>
  <c r="F15" i="2" l="1"/>
  <c r="F31" i="2"/>
  <c r="F35" i="2"/>
  <c r="F39" i="2"/>
  <c r="F43" i="2"/>
  <c r="F47" i="2"/>
  <c r="F51" i="2"/>
  <c r="F55" i="2"/>
  <c r="F59" i="2"/>
  <c r="L8" i="2"/>
  <c r="F42" i="2"/>
  <c r="F54" i="2"/>
  <c r="F32" i="2"/>
  <c r="F36" i="2"/>
  <c r="F40" i="2"/>
  <c r="F44" i="2"/>
  <c r="F48" i="2"/>
  <c r="F52" i="2"/>
  <c r="F56" i="2"/>
  <c r="F60" i="2"/>
  <c r="F38" i="2"/>
  <c r="F50" i="2"/>
  <c r="F33" i="2"/>
  <c r="F37" i="2"/>
  <c r="F41" i="2"/>
  <c r="F45" i="2"/>
  <c r="F49" i="2"/>
  <c r="F53" i="2"/>
  <c r="F57" i="2"/>
  <c r="F34" i="2"/>
  <c r="F46" i="2"/>
  <c r="F58" i="2"/>
  <c r="H12" i="2"/>
  <c r="J12" i="2" s="1"/>
  <c r="H14" i="2"/>
  <c r="J14" i="2" s="1"/>
  <c r="J8" i="2"/>
  <c r="J10" i="2"/>
  <c r="J11" i="2"/>
  <c r="L11" i="2"/>
  <c r="L9" i="2"/>
  <c r="L10" i="2"/>
  <c r="J9" i="2"/>
  <c r="H13" i="2"/>
  <c r="J13" i="2" s="1"/>
  <c r="F12" i="2"/>
  <c r="G12" i="2" s="1"/>
  <c r="G10" i="2"/>
  <c r="F11" i="2"/>
  <c r="G11" i="2" s="1"/>
  <c r="C4" i="2"/>
  <c r="C4" i="1"/>
  <c r="C8" i="1" s="1"/>
  <c r="C7" i="1" a="1"/>
  <c r="C6" i="1" a="1"/>
  <c r="G34" i="2" l="1"/>
  <c r="H34" i="2" s="1"/>
  <c r="G49" i="2"/>
  <c r="H49" i="2" s="1"/>
  <c r="G33" i="2"/>
  <c r="H33" i="2" s="1"/>
  <c r="G56" i="2"/>
  <c r="H56" i="2" s="1"/>
  <c r="G40" i="2"/>
  <c r="H40" i="2" s="1"/>
  <c r="G54" i="2"/>
  <c r="H54" i="2" s="1"/>
  <c r="G55" i="2"/>
  <c r="H55" i="2" s="1"/>
  <c r="G39" i="2"/>
  <c r="H39" i="2" s="1"/>
  <c r="G31" i="2"/>
  <c r="H31" i="2" s="1"/>
  <c r="G45" i="2"/>
  <c r="H45" i="2" s="1"/>
  <c r="G50" i="2"/>
  <c r="H50" i="2" s="1"/>
  <c r="G52" i="2"/>
  <c r="H52" i="2" s="1"/>
  <c r="G36" i="2"/>
  <c r="H36" i="2" s="1"/>
  <c r="G42" i="2"/>
  <c r="H42" i="2" s="1"/>
  <c r="G51" i="2"/>
  <c r="H51" i="2" s="1"/>
  <c r="G35" i="2"/>
  <c r="H35" i="2" s="1"/>
  <c r="G58" i="2"/>
  <c r="H58" i="2" s="1"/>
  <c r="G57" i="2"/>
  <c r="H57" i="2" s="1"/>
  <c r="G41" i="2"/>
  <c r="H41" i="2" s="1"/>
  <c r="G38" i="2"/>
  <c r="H38" i="2" s="1"/>
  <c r="G48" i="2"/>
  <c r="H48" i="2" s="1"/>
  <c r="G32" i="2"/>
  <c r="H32" i="2" s="1"/>
  <c r="G47" i="2"/>
  <c r="H47" i="2" s="1"/>
  <c r="G46" i="2"/>
  <c r="H46" i="2" s="1"/>
  <c r="G53" i="2"/>
  <c r="H53" i="2" s="1"/>
  <c r="G37" i="2"/>
  <c r="H37" i="2" s="1"/>
  <c r="G60" i="2"/>
  <c r="H60" i="2" s="1"/>
  <c r="G44" i="2"/>
  <c r="H44" i="2" s="1"/>
  <c r="G59" i="2"/>
  <c r="H59" i="2" s="1"/>
  <c r="G43" i="2"/>
  <c r="H43" i="2" s="1"/>
  <c r="U2" i="2"/>
  <c r="O11" i="2"/>
  <c r="Q11" i="2" s="1"/>
  <c r="O10" i="2"/>
  <c r="Q10" i="2"/>
  <c r="O8" i="2"/>
  <c r="Q8" i="2" s="1"/>
  <c r="O9" i="2"/>
  <c r="Q9" i="2" s="1"/>
  <c r="L12" i="2"/>
  <c r="L14" i="2"/>
  <c r="L13" i="2"/>
  <c r="C10" i="1"/>
  <c r="C5" i="1"/>
  <c r="C9" i="1"/>
  <c r="F14" i="2"/>
  <c r="G14" i="2" s="1"/>
  <c r="F13" i="2"/>
  <c r="G13" i="2" s="1"/>
  <c r="C7" i="1"/>
  <c r="C6" i="1"/>
  <c r="F16" i="2" a="1"/>
  <c r="U4" i="2" l="1"/>
  <c r="J34" i="2"/>
  <c r="L34" i="2"/>
  <c r="J40" i="2"/>
  <c r="L40" i="2"/>
  <c r="J33" i="2"/>
  <c r="L33" i="2"/>
  <c r="J37" i="2"/>
  <c r="L37" i="2"/>
  <c r="J59" i="2"/>
  <c r="L59" i="2"/>
  <c r="J53" i="2"/>
  <c r="L53" i="2"/>
  <c r="J48" i="2"/>
  <c r="L48" i="2"/>
  <c r="J58" i="2"/>
  <c r="L58" i="2"/>
  <c r="J36" i="2"/>
  <c r="L36" i="2"/>
  <c r="T31" i="2" a="1"/>
  <c r="T31" i="2" s="1"/>
  <c r="L31" i="2"/>
  <c r="Q31" i="2" s="1"/>
  <c r="J31" i="2"/>
  <c r="J38" i="2"/>
  <c r="L38" i="2"/>
  <c r="J35" i="2"/>
  <c r="L35" i="2"/>
  <c r="J52" i="2"/>
  <c r="L52" i="2"/>
  <c r="J39" i="2"/>
  <c r="L39" i="2"/>
  <c r="J49" i="2"/>
  <c r="L49" i="2"/>
  <c r="J44" i="2"/>
  <c r="L44" i="2"/>
  <c r="J46" i="2"/>
  <c r="L46" i="2"/>
  <c r="J60" i="2"/>
  <c r="L60" i="2"/>
  <c r="J47" i="2"/>
  <c r="L47" i="2"/>
  <c r="J41" i="2"/>
  <c r="L41" i="2"/>
  <c r="J51" i="2"/>
  <c r="L51" i="2"/>
  <c r="J50" i="2"/>
  <c r="L50" i="2"/>
  <c r="J55" i="2"/>
  <c r="L55" i="2"/>
  <c r="J56" i="2"/>
  <c r="L56" i="2"/>
  <c r="J43" i="2"/>
  <c r="L43" i="2"/>
  <c r="J32" i="2"/>
  <c r="L32" i="2"/>
  <c r="O32" i="2" s="1"/>
  <c r="J57" i="2"/>
  <c r="L57" i="2"/>
  <c r="J42" i="2"/>
  <c r="L42" i="2"/>
  <c r="J45" i="2"/>
  <c r="L45" i="2"/>
  <c r="J54" i="2"/>
  <c r="L54" i="2"/>
  <c r="T8" i="2" a="1"/>
  <c r="T8" i="2" s="1"/>
  <c r="F16" i="2"/>
  <c r="O14" i="2"/>
  <c r="O12" i="2"/>
  <c r="Q12" i="2" s="1"/>
  <c r="O13" i="2"/>
  <c r="Q13" i="2" s="1"/>
  <c r="H15" i="2" a="1"/>
  <c r="U3" i="2" a="1"/>
  <c r="U3" i="2" l="1"/>
  <c r="U5" i="2" s="1"/>
  <c r="Q14" i="2"/>
  <c r="H15" i="2"/>
  <c r="P32" i="2"/>
  <c r="O33" i="2" s="1"/>
  <c r="Q32" i="2"/>
  <c r="O15" i="2" l="1"/>
  <c r="L15" i="2"/>
  <c r="J15" i="2"/>
  <c r="Q33" i="2"/>
  <c r="P33" i="2"/>
  <c r="O34" i="2" s="1"/>
  <c r="F17" i="2" a="1"/>
  <c r="H16" i="2" a="1"/>
  <c r="Q15" i="2" l="1"/>
  <c r="H16" i="2"/>
  <c r="F17" i="2"/>
  <c r="Q34" i="2"/>
  <c r="P34" i="2"/>
  <c r="O35" i="2" s="1"/>
  <c r="O16" i="2" l="1"/>
  <c r="P35" i="2"/>
  <c r="O36" i="2" s="1"/>
  <c r="Q35" i="2"/>
  <c r="L16" i="2"/>
  <c r="J16" i="2"/>
  <c r="F18" i="2" a="1"/>
  <c r="H17" i="2" a="1"/>
  <c r="Q16" i="2" l="1"/>
  <c r="H17" i="2"/>
  <c r="F18" i="2"/>
  <c r="P36" i="2"/>
  <c r="O37" i="2" s="1"/>
  <c r="Q36" i="2"/>
  <c r="O17" i="2" l="1"/>
  <c r="P37" i="2"/>
  <c r="O38" i="2" s="1"/>
  <c r="Q37" i="2"/>
  <c r="L17" i="2"/>
  <c r="J17" i="2"/>
  <c r="F19" i="2" a="1"/>
  <c r="H18" i="2" a="1"/>
  <c r="Q17" i="2" l="1"/>
  <c r="H18" i="2"/>
  <c r="F19" i="2"/>
  <c r="P38" i="2"/>
  <c r="O39" i="2" s="1"/>
  <c r="Q38" i="2"/>
  <c r="O18" i="2" l="1"/>
  <c r="P39" i="2"/>
  <c r="O40" i="2" s="1"/>
  <c r="Q39" i="2"/>
  <c r="L18" i="2"/>
  <c r="J18" i="2"/>
  <c r="H19" i="2" a="1"/>
  <c r="F20" i="2" a="1"/>
  <c r="Q18" i="2" l="1"/>
  <c r="F20" i="2"/>
  <c r="H19" i="2"/>
  <c r="O19" i="2" s="1"/>
  <c r="P40" i="2"/>
  <c r="O41" i="2" s="1"/>
  <c r="Q40" i="2"/>
  <c r="P41" i="2" l="1"/>
  <c r="O42" i="2" s="1"/>
  <c r="Q41" i="2"/>
  <c r="L19" i="2"/>
  <c r="Q19" i="2" s="1"/>
  <c r="J19" i="2"/>
  <c r="H20" i="2" a="1"/>
  <c r="F21" i="2" a="1"/>
  <c r="F21" i="2" l="1"/>
  <c r="H20" i="2"/>
  <c r="O20" i="2" s="1"/>
  <c r="P42" i="2"/>
  <c r="O43" i="2" s="1"/>
  <c r="Q42" i="2"/>
  <c r="P43" i="2" l="1"/>
  <c r="O44" i="2" s="1"/>
  <c r="Q43" i="2"/>
  <c r="L20" i="2"/>
  <c r="Q20" i="2" s="1"/>
  <c r="J20" i="2"/>
  <c r="H21" i="2" a="1"/>
  <c r="F22" i="2" a="1"/>
  <c r="H21" i="2" l="1"/>
  <c r="O21" i="2" s="1"/>
  <c r="F22" i="2"/>
  <c r="P44" i="2"/>
  <c r="O45" i="2" s="1"/>
  <c r="Q44" i="2"/>
  <c r="P45" i="2" l="1"/>
  <c r="O46" i="2" s="1"/>
  <c r="Q45" i="2"/>
  <c r="L21" i="2"/>
  <c r="Q21" i="2" s="1"/>
  <c r="J21" i="2"/>
  <c r="H22" i="2" a="1"/>
  <c r="F23" i="2" a="1"/>
  <c r="F23" i="2" l="1"/>
  <c r="H22" i="2"/>
  <c r="O22" i="2" s="1"/>
  <c r="P46" i="2"/>
  <c r="O47" i="2" s="1"/>
  <c r="Q46" i="2"/>
  <c r="P47" i="2" l="1"/>
  <c r="O48" i="2" s="1"/>
  <c r="Q47" i="2"/>
  <c r="L22" i="2"/>
  <c r="Q22" i="2" s="1"/>
  <c r="J22" i="2"/>
  <c r="F24" i="2" a="1"/>
  <c r="H23" i="2" a="1"/>
  <c r="F24" i="2" l="1"/>
  <c r="H23" i="2"/>
  <c r="O23" i="2" s="1"/>
  <c r="P48" i="2"/>
  <c r="O49" i="2" s="1"/>
  <c r="Q48" i="2"/>
  <c r="L23" i="2" l="1"/>
  <c r="Q23" i="2" s="1"/>
  <c r="J23" i="2"/>
  <c r="P49" i="2"/>
  <c r="O50" i="2" s="1"/>
  <c r="Q49" i="2"/>
  <c r="H24" i="2" a="1"/>
  <c r="F25" i="2" a="1"/>
  <c r="F25" i="2" l="1"/>
  <c r="H24" i="2"/>
  <c r="O24" i="2" s="1"/>
  <c r="P50" i="2"/>
  <c r="O51" i="2" s="1"/>
  <c r="Q50" i="2"/>
  <c r="L24" i="2" l="1"/>
  <c r="Q24" i="2" s="1"/>
  <c r="J24" i="2"/>
  <c r="P51" i="2"/>
  <c r="O52" i="2" s="1"/>
  <c r="Q51" i="2"/>
  <c r="H25" i="2" a="1"/>
  <c r="F26" i="2" a="1"/>
  <c r="H25" i="2" l="1"/>
  <c r="O25" i="2" s="1"/>
  <c r="F26" i="2"/>
  <c r="P52" i="2"/>
  <c r="O53" i="2" s="1"/>
  <c r="Q52" i="2"/>
  <c r="P53" i="2" l="1"/>
  <c r="O54" i="2" s="1"/>
  <c r="Q53" i="2"/>
  <c r="L25" i="2"/>
  <c r="Q25" i="2" s="1"/>
  <c r="J25" i="2"/>
  <c r="H26" i="2" a="1"/>
  <c r="F27" i="2" a="1"/>
  <c r="H26" i="2" l="1"/>
  <c r="O26" i="2" s="1"/>
  <c r="F27" i="2"/>
  <c r="P54" i="2"/>
  <c r="O55" i="2" s="1"/>
  <c r="Q54" i="2"/>
  <c r="P55" i="2" l="1"/>
  <c r="O56" i="2" s="1"/>
  <c r="Q55" i="2"/>
  <c r="L26" i="2"/>
  <c r="Q26" i="2" s="1"/>
  <c r="J26" i="2"/>
  <c r="F28" i="2" a="1"/>
  <c r="H27" i="2" a="1"/>
  <c r="F28" i="2" l="1"/>
  <c r="H27" i="2"/>
  <c r="O27" i="2" s="1"/>
  <c r="P56" i="2"/>
  <c r="O57" i="2" s="1"/>
  <c r="Q56" i="2"/>
  <c r="P57" i="2" l="1"/>
  <c r="O58" i="2" s="1"/>
  <c r="Q57" i="2"/>
  <c r="L27" i="2"/>
  <c r="Q27" i="2" s="1"/>
  <c r="J27" i="2"/>
  <c r="F29" i="2" a="1"/>
  <c r="H28" i="2" a="1"/>
  <c r="H28" i="2" l="1"/>
  <c r="O28" i="2" s="1"/>
  <c r="F29" i="2"/>
  <c r="P58" i="2"/>
  <c r="O59" i="2" s="1"/>
  <c r="Q58" i="2"/>
  <c r="L28" i="2" l="1"/>
  <c r="Q28" i="2" s="1"/>
  <c r="J28" i="2"/>
  <c r="P59" i="2"/>
  <c r="O60" i="2" s="1"/>
  <c r="Q59" i="2"/>
  <c r="F30" i="2" a="1"/>
  <c r="H29" i="2" a="1"/>
  <c r="H29" i="2" l="1"/>
  <c r="O29" i="2" s="1"/>
  <c r="F30" i="2"/>
  <c r="P60" i="2"/>
  <c r="Q60" i="2"/>
  <c r="H30" i="2" a="1"/>
  <c r="H30" i="2" l="1"/>
  <c r="O30" i="2" s="1"/>
  <c r="Z8" i="2" s="1" a="1"/>
  <c r="Z8" i="2" s="1"/>
  <c r="L29" i="2"/>
  <c r="Q29" i="2" s="1"/>
  <c r="J29" i="2"/>
  <c r="Y8" i="2" l="1" a="1"/>
  <c r="Y8" i="2" s="1"/>
  <c r="T15" i="2" a="1"/>
  <c r="T15" i="2" s="1"/>
  <c r="L30" i="2"/>
  <c r="Q30" i="2" s="1"/>
  <c r="AA8" i="2" s="1" a="1"/>
  <c r="AA8" i="2" s="1"/>
  <c r="J30" i="2"/>
  <c r="AD8" i="2" l="1" a="1"/>
  <c r="AD8" i="2" s="1"/>
  <c r="AK8" i="2" l="1" a="1"/>
  <c r="AA2" i="2" l="1"/>
  <c r="X4" i="2"/>
  <c r="AK8" i="2"/>
  <c r="AA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<sst xmlns="http://schemas.openxmlformats.org/spreadsheetml/2006/main" count="512" uniqueCount="124">
  <si>
    <t>TARGETStartYear</t>
  </si>
  <si>
    <t>New Year's Day</t>
  </si>
  <si>
    <t>Good Friday</t>
  </si>
  <si>
    <t xml:space="preserve">Easter Monday </t>
  </si>
  <si>
    <t>Labor Day</t>
  </si>
  <si>
    <t xml:space="preserve">Christmas Day </t>
  </si>
  <si>
    <t xml:space="preserve">Boxing Day </t>
  </si>
  <si>
    <t>TARGETNbOfYear</t>
  </si>
  <si>
    <t>Bank Holiday</t>
  </si>
  <si>
    <t>Year</t>
  </si>
  <si>
    <t>Date</t>
  </si>
  <si>
    <t>Easter Monday</t>
  </si>
  <si>
    <t>Labour Day</t>
  </si>
  <si>
    <t>Christmas Day</t>
  </si>
  <si>
    <t>St Stephen's Day</t>
  </si>
  <si>
    <t>sum</t>
  </si>
  <si>
    <t>RawDataOrigin</t>
  </si>
  <si>
    <t>RateType</t>
  </si>
  <si>
    <t>Source</t>
  </si>
  <si>
    <t>Term</t>
  </si>
  <si>
    <t>BD</t>
  </si>
  <si>
    <t>Raw Add Period</t>
  </si>
  <si>
    <t>isBusinessDay</t>
  </si>
  <si>
    <t>BD Adjusted Date</t>
  </si>
  <si>
    <t>Selected</t>
  </si>
  <si>
    <t>#Day</t>
  </si>
  <si>
    <t>DayCount Basis</t>
  </si>
  <si>
    <t>DfFracYear</t>
  </si>
  <si>
    <t>Quote</t>
  </si>
  <si>
    <t>UsedRate</t>
  </si>
  <si>
    <t>Df</t>
  </si>
  <si>
    <t>DfSum</t>
  </si>
  <si>
    <t>Zc</t>
  </si>
  <si>
    <t>CASH</t>
  </si>
  <si>
    <t>O/N</t>
  </si>
  <si>
    <t>T/N</t>
  </si>
  <si>
    <t>S/N</t>
  </si>
  <si>
    <t>Corp</t>
  </si>
  <si>
    <t>1w</t>
  </si>
  <si>
    <t>2w</t>
  </si>
  <si>
    <t>3w</t>
  </si>
  <si>
    <t>FUTURES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</si>
  <si>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</si>
  <si>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</si>
  <si>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</si>
  <si>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</si>
  <si>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</si>
  <si>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</si>
  <si>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</si>
  <si>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</si>
  <si>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</si>
  <si>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</si>
  <si>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</si>
  <si>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</si>
  <si>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</si>
  <si>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</si>
  <si>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</si>
  <si>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</si>
  <si>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SWAPS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</si>
  <si>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</si>
  <si>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</si>
  <si>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</si>
  <si>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</si>
  <si>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</si>
  <si>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</si>
  <si>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</si>
  <si>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</si>
  <si>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</si>
  <si>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</si>
  <si>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</si>
  <si>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</si>
  <si>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</si>
  <si>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</si>
  <si>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</si>
  <si>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</si>
  <si>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</si>
  <si>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</si>
  <si>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</si>
  <si>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</si>
  <si>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</si>
  <si>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</si>
  <si>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</si>
  <si>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</si>
  <si>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</si>
  <si>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</si>
  <si>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</si>
  <si>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</si>
  <si>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</si>
  <si>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</si>
  <si>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Act/360</t>
  </si>
  <si>
    <t>30/360</t>
  </si>
  <si>
    <t>Sanity Checks</t>
  </si>
  <si>
    <t xml:space="preserve">Nb of Df </t>
  </si>
  <si>
    <t>✓</t>
  </si>
  <si>
    <t>Pricing</t>
  </si>
  <si>
    <t>Reminder: ValueDate&lt;&gt;PricerDare =&gt; adjust pricing accordingly</t>
  </si>
  <si>
    <t>Calendar</t>
  </si>
  <si>
    <t>Duplicates</t>
  </si>
  <si>
    <t>MANUAL</t>
  </si>
  <si>
    <t>Junction (to 1rst STIR)</t>
  </si>
  <si>
    <t>InterpValue</t>
  </si>
  <si>
    <t>Tenor selection</t>
  </si>
  <si>
    <t>key DATA</t>
  </si>
  <si>
    <t>RawDataRow</t>
  </si>
  <si>
    <t>CurveBuilder!7:7</t>
  </si>
  <si>
    <t>Sorted DATA</t>
  </si>
  <si>
    <t>Filtered DATA</t>
  </si>
  <si>
    <t>Today</t>
  </si>
  <si>
    <t>Pricer Date</t>
  </si>
  <si>
    <t>SpotNext</t>
  </si>
  <si>
    <t>Value Date</t>
  </si>
  <si>
    <t>CASH FLOWS</t>
  </si>
  <si>
    <t>SWAP</t>
  </si>
  <si>
    <t>Raw Dates</t>
  </si>
  <si>
    <t>BDates</t>
  </si>
  <si>
    <t>PV raw dates</t>
  </si>
  <si>
    <t>PV Bdates</t>
  </si>
  <si>
    <t>Sum CFxDf</t>
  </si>
  <si>
    <t>PVBdates</t>
  </si>
  <si>
    <t>swap rate</t>
  </si>
  <si>
    <t>Bdates</t>
  </si>
  <si>
    <t>CashFlows</t>
  </si>
  <si>
    <t>Interp Df</t>
  </si>
  <si>
    <t>CF x 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</si>
</sst>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"/>
    <numFmt numFmtId="165" formatCode="&quot;+&quot;0&quot; BD&quot;"/>
    <numFmt numFmtId="166" formatCode="0.000"/>
    <numFmt numFmtId="167" formatCode="0.0000"/>
    <numFmt numFmtId="168" formatCode="0.0000%"/>
    <numFmt numFmtId="169" formatCode="0\ &quot;y&quot;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">
    <xf numFmtId="0" fontId="0" fillId="0" borderId="0"/>
    <xf numFmtId="9" fontId="7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</cellStyleXfs>
  <cellXfs count="103">
    <xf numFmtId="0" fontId="0" fillId="0" borderId="0" xfId="0"/>
    <xf numFmtId="14" fontId="0" fillId="0" borderId="0" xfId="0" applyNumberFormat="1"/>
    <xf numFmtId="15" fontId="0" fillId="0" borderId="0" xfId="0" applyNumberFormat="1"/>
    <xf numFmtId="0" fontId="1" fillId="0" borderId="0" xfId="0" applyFont="1"/>
    <xf numFmtId="15" fontId="1" fillId="0" borderId="0" xfId="0" applyNumberFormat="1" applyFont="1"/>
    <xf numFmtId="0" fontId="0" fillId="0" borderId="1" xfId="0" applyBorder="1"/>
    <xf numFmtId="0" fontId="0" fillId="0" borderId="2" xfId="0" applyBorder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1" xfId="0" applyFont="1" applyBorder="1" applyAlignment="1">
      <alignment horizontal="left"/>
    </xf>
    <xf numFmtId="0" fontId="5" fillId="0" borderId="1" xfId="0" applyFont="1" applyBorder="1"/>
    <xf numFmtId="0" fontId="5" fillId="0" borderId="2" xfId="0" applyFont="1" applyBorder="1" applyAlignment="1">
      <alignment horizontal="left"/>
    </xf>
    <xf numFmtId="0" fontId="5" fillId="0" borderId="2" xfId="0" applyFont="1" applyBorder="1"/>
    <xf numFmtId="0" fontId="5" fillId="5" borderId="0" xfId="0" applyFont="1" applyFill="1"/>
    <xf numFmtId="0" fontId="5" fillId="5" borderId="1" xfId="0" applyFont="1" applyFill="1" applyBorder="1"/>
    <xf numFmtId="0" fontId="5" fillId="6" borderId="0" xfId="0" applyFont="1" applyFill="1"/>
    <xf numFmtId="0" fontId="5" fillId="6" borderId="1" xfId="0" applyFont="1" applyFill="1" applyBorder="1"/>
    <xf numFmtId="0" fontId="5" fillId="7" borderId="0" xfId="0" applyFont="1" applyFill="1"/>
    <xf numFmtId="0" fontId="5" fillId="7" borderId="2" xfId="0" applyFont="1" applyFill="1" applyBorder="1"/>
    <xf numFmtId="0" fontId="0" fillId="0" borderId="3" xfId="0" applyBorder="1"/>
    <xf numFmtId="14" fontId="0" fillId="0" borderId="3" xfId="0" applyNumberFormat="1" applyBorder="1"/>
    <xf numFmtId="14" fontId="3" fillId="2" borderId="3" xfId="0" applyNumberFormat="1" applyFont="1" applyFill="1" applyBorder="1"/>
    <xf numFmtId="14" fontId="4" fillId="3" borderId="3" xfId="0" applyNumberFormat="1" applyFont="1" applyFill="1" applyBorder="1"/>
    <xf numFmtId="0" fontId="1" fillId="0" borderId="3" xfId="0" applyFont="1" applyBorder="1"/>
    <xf numFmtId="165" fontId="0" fillId="0" borderId="0" xfId="0" applyNumberFormat="1"/>
    <xf numFmtId="165" fontId="0" fillId="0" borderId="1" xfId="0" applyNumberFormat="1" applyBorder="1"/>
    <xf numFmtId="14" fontId="0" fillId="0" borderId="1" xfId="0" applyNumberFormat="1" applyBorder="1"/>
    <xf numFmtId="165" fontId="0" fillId="0" borderId="2" xfId="0" applyNumberFormat="1" applyBorder="1"/>
    <xf numFmtId="14" fontId="0" fillId="0" borderId="2" xfId="0" applyNumberFormat="1" applyBorder="1"/>
    <xf numFmtId="15" fontId="0" fillId="0" borderId="1" xfId="0" applyNumberFormat="1" applyBorder="1"/>
    <xf numFmtId="15" fontId="0" fillId="0" borderId="2" xfId="0" applyNumberFormat="1" applyBorder="1"/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5" fillId="0" borderId="5" xfId="0" applyFont="1" applyBorder="1" applyAlignment="1">
      <alignment horizontal="left"/>
    </xf>
    <xf numFmtId="0" fontId="5" fillId="0" borderId="5" xfId="0" applyFont="1" applyBorder="1"/>
    <xf numFmtId="165" fontId="0" fillId="0" borderId="5" xfId="0" applyNumberFormat="1" applyBorder="1"/>
    <xf numFmtId="14" fontId="0" fillId="0" borderId="5" xfId="0" applyNumberFormat="1" applyBorder="1"/>
    <xf numFmtId="0" fontId="0" fillId="0" borderId="5" xfId="0" applyBorder="1"/>
    <xf numFmtId="2" fontId="0" fillId="0" borderId="5" xfId="0" applyNumberFormat="1" applyBorder="1"/>
    <xf numFmtId="2" fontId="0" fillId="0" borderId="0" xfId="0" applyNumberFormat="1"/>
    <xf numFmtId="2" fontId="0" fillId="0" borderId="2" xfId="0" applyNumberFormat="1" applyBorder="1"/>
    <xf numFmtId="2" fontId="0" fillId="0" borderId="1" xfId="0" applyNumberFormat="1" applyBorder="1"/>
    <xf numFmtId="166" fontId="0" fillId="0" borderId="0" xfId="1" applyNumberFormat="1" applyFont="1"/>
    <xf numFmtId="166" fontId="0" fillId="0" borderId="1" xfId="1" applyNumberFormat="1" applyFont="1" applyBorder="1"/>
    <xf numFmtId="166" fontId="0" fillId="0" borderId="2" xfId="1" applyNumberFormat="1" applyFont="1" applyBorder="1"/>
    <xf numFmtId="166" fontId="0" fillId="8" borderId="0" xfId="1" applyNumberFormat="1" applyFont="1" applyFill="1"/>
    <xf numFmtId="0" fontId="0" fillId="0" borderId="6" xfId="0" applyBorder="1" applyAlignment="1">
      <alignment horizontal="center"/>
    </xf>
    <xf numFmtId="0" fontId="4" fillId="0" borderId="7" xfId="0" applyFont="1" applyBorder="1"/>
    <xf numFmtId="0" fontId="4" fillId="0" borderId="5" xfId="0" applyFont="1" applyBorder="1"/>
    <xf numFmtId="0" fontId="4" fillId="0" borderId="8" xfId="0" applyFont="1" applyBorder="1" applyAlignment="1">
      <alignment horizontal="center"/>
    </xf>
    <xf numFmtId="0" fontId="0" fillId="0" borderId="7" xfId="0" applyBorder="1"/>
    <xf numFmtId="0" fontId="0" fillId="0" borderId="5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" xfId="0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6" xfId="0" applyBorder="1"/>
    <xf numFmtId="0" fontId="0" fillId="0" borderId="17" xfId="0" applyBorder="1"/>
    <xf numFmtId="15" fontId="0" fillId="0" borderId="3" xfId="0" applyNumberFormat="1" applyBorder="1"/>
    <xf numFmtId="166" fontId="0" fillId="0" borderId="3" xfId="0" applyNumberFormat="1" applyBorder="1"/>
    <xf numFmtId="2" fontId="0" fillId="0" borderId="3" xfId="0" applyNumberFormat="1" applyBorder="1" applyAlignment="1">
      <alignment horizontal="right"/>
    </xf>
    <xf numFmtId="166" fontId="0" fillId="0" borderId="3" xfId="1" applyNumberFormat="1" applyFont="1" applyBorder="1"/>
    <xf numFmtId="164" fontId="0" fillId="0" borderId="18" xfId="0" applyNumberFormat="1" applyBorder="1" applyAlignment="1">
      <alignment horizontal="left"/>
    </xf>
    <xf numFmtId="164" fontId="0" fillId="0" borderId="18" xfId="0" applyNumberFormat="1" applyBorder="1" applyAlignment="1">
      <alignment horizontal="center"/>
    </xf>
    <xf numFmtId="0" fontId="4" fillId="0" borderId="0" xfId="0" applyFont="1"/>
    <xf numFmtId="164" fontId="0" fillId="0" borderId="3" xfId="0" applyNumberFormat="1" applyBorder="1"/>
    <xf numFmtId="164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/>
    <xf numFmtId="164" fontId="0" fillId="9" borderId="18" xfId="0" applyNumberFormat="1" applyFill="1" applyBorder="1" applyAlignment="1">
      <alignment horizontal="left"/>
    </xf>
    <xf numFmtId="15" fontId="0" fillId="9" borderId="0" xfId="0" applyNumberFormat="1" applyFill="1"/>
    <xf numFmtId="166" fontId="0" fillId="9" borderId="0" xfId="0" applyNumberFormat="1" applyFill="1"/>
    <xf numFmtId="166" fontId="0" fillId="0" borderId="5" xfId="0" applyNumberFormat="1" applyBorder="1"/>
    <xf numFmtId="166" fontId="0" fillId="0" borderId="2" xfId="0" applyNumberFormat="1" applyBorder="1"/>
    <xf numFmtId="166" fontId="0" fillId="8" borderId="0" xfId="0" applyNumberFormat="1" applyFill="1"/>
    <xf numFmtId="166" fontId="0" fillId="0" borderId="1" xfId="0" applyNumberFormat="1" applyBorder="1"/>
    <xf numFmtId="14" fontId="8" fillId="0" borderId="0" xfId="2" applyNumberFormat="1"/>
    <xf numFmtId="0" fontId="8" fillId="0" borderId="0" xfId="2"/>
    <xf numFmtId="0" fontId="8" fillId="0" borderId="0" xfId="2" quotePrefix="1"/>
    <xf numFmtId="0" fontId="8" fillId="0" borderId="13" xfId="2" applyBorder="1"/>
    <xf numFmtId="0" fontId="8" fillId="0" borderId="15" xfId="2" quotePrefix="1" applyBorder="1"/>
    <xf numFmtId="167" fontId="8" fillId="2" borderId="0" xfId="2" applyNumberFormat="1" applyFill="1"/>
    <xf numFmtId="168" fontId="0" fillId="0" borderId="15" xfId="3" quotePrefix="1" applyNumberFormat="1" applyFont="1" applyBorder="1"/>
    <xf numFmtId="0" fontId="4" fillId="0" borderId="0" xfId="2" applyFont="1" applyAlignment="1">
      <alignment horizontal="center"/>
    </xf>
    <xf numFmtId="14" fontId="8" fillId="2" borderId="0" xfId="2" applyNumberFormat="1" applyFill="1"/>
    <xf numFmtId="0" fontId="8" fillId="2" borderId="0" xfId="2" applyFill="1"/>
    <xf numFmtId="0" fontId="8" fillId="0" borderId="0" xfId="2" applyAlignment="1">
      <alignment horizontal="right"/>
    </xf>
    <xf numFmtId="10" fontId="0" fillId="0" borderId="0" xfId="3" applyNumberFormat="1" applyFont="1"/>
    <xf numFmtId="169" fontId="8" fillId="0" borderId="0" xfId="2" applyNumberFormat="1"/>
    <xf numFmtId="0" fontId="0" fillId="0" borderId="3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/>
    </xf>
    <xf numFmtId="0" fontId="4" fillId="0" borderId="1" xfId="2" applyFont="1" applyBorder="1" applyAlignment="1">
      <alignment horizontal="center"/>
    </xf>
  </cellXfs>
  <cellStyles count="4">
    <cellStyle name="Normal" xfId="0" builtinId="0"/>
    <cellStyle name="Normal 2" xfId="2" xr:uid="{831CC73B-17D8-7B40-BE3F-8BE5314CDA46}"/>
    <cellStyle name="Per cent" xfId="1" builtinId="5"/>
    <cellStyle name="Per cent 2" xfId="3" xr:uid="{E323FAEF-9A40-4143-90BC-A0929AEF5269}"/>
  </cellStyles>
  <dxfs count="7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Sheet1!$AM$8:$AM$60</c:f>
              <c:numCache>
                <c:formatCode>d\-mmm\-yy</c:formatCode>
                <c:ptCount val="53"/>
                <c:pt idx="0">
                  <c:v>44978</c:v>
                </c:pt>
                <c:pt idx="1">
                  <c:v>44979</c:v>
                </c:pt>
                <c:pt idx="2">
                  <c:v>44980</c:v>
                </c:pt>
                <c:pt idx="3">
                  <c:v>45098</c:v>
                </c:pt>
                <c:pt idx="4">
                  <c:v>45189</c:v>
                </c:pt>
                <c:pt idx="5">
                  <c:v>45280</c:v>
                </c:pt>
                <c:pt idx="6">
                  <c:v>45345</c:v>
                </c:pt>
                <c:pt idx="7">
                  <c:v>45371</c:v>
                </c:pt>
                <c:pt idx="8">
                  <c:v>45712</c:v>
                </c:pt>
                <c:pt idx="9">
                  <c:v>46076</c:v>
                </c:pt>
                <c:pt idx="10">
                  <c:v>46441</c:v>
                </c:pt>
                <c:pt idx="11">
                  <c:v>46806</c:v>
                </c:pt>
                <c:pt idx="12">
                  <c:v>47172</c:v>
                </c:pt>
                <c:pt idx="13">
                  <c:v>47539</c:v>
                </c:pt>
                <c:pt idx="14">
                  <c:v>47903</c:v>
                </c:pt>
                <c:pt idx="15">
                  <c:v>48267</c:v>
                </c:pt>
                <c:pt idx="16">
                  <c:v>48633</c:v>
                </c:pt>
                <c:pt idx="17">
                  <c:v>48998</c:v>
                </c:pt>
                <c:pt idx="18">
                  <c:v>49363</c:v>
                </c:pt>
                <c:pt idx="19">
                  <c:v>50459</c:v>
                </c:pt>
                <c:pt idx="20">
                  <c:v>52285</c:v>
                </c:pt>
                <c:pt idx="21">
                  <c:v>54112</c:v>
                </c:pt>
                <c:pt idx="22">
                  <c:v>55939</c:v>
                </c:pt>
              </c:numCache>
            </c:numRef>
          </c:cat>
          <c:val>
            <c:numRef>
              <c:f>Sheet1!$AO$8:$AO$60</c:f>
              <c:numCache>
                <c:formatCode>0\.000</c:formatCode>
                <c:ptCount val="53"/>
                <c:pt idx="0">
                  <c:v>2.0202473668374132</c:v>
                </c:pt>
                <c:pt idx="1">
                  <c:v>2.0201906826473603</c:v>
                </c:pt>
                <c:pt idx="2">
                  <c:v>2</c:v>
                </c:pt>
                <c:pt idx="3">
                  <c:v>2.8316810217294153</c:v>
                </c:pt>
                <c:pt idx="4">
                  <c:v>3.1153989302005414</c:v>
                </c:pt>
                <c:pt idx="5">
                  <c:v>3.2365217907719179</c:v>
                </c:pt>
                <c:pt idx="6">
                  <c:v>3.2499999999999973</c:v>
                </c:pt>
                <c:pt idx="7">
                  <c:v>3.2727236735251575</c:v>
                </c:pt>
                <c:pt idx="8">
                  <c:v>3.1788197313115107</c:v>
                </c:pt>
                <c:pt idx="9">
                  <c:v>2.9732896242804285</c:v>
                </c:pt>
                <c:pt idx="10">
                  <c:v>2.8499574589608834</c:v>
                </c:pt>
                <c:pt idx="11">
                  <c:v>2.7887078313775016</c:v>
                </c:pt>
                <c:pt idx="12">
                  <c:v>2.7478867546065766</c:v>
                </c:pt>
                <c:pt idx="13">
                  <c:v>2.7279674458864811</c:v>
                </c:pt>
                <c:pt idx="14">
                  <c:v>2.7185166882371936</c:v>
                </c:pt>
                <c:pt idx="15">
                  <c:v>2.7309231892861163</c:v>
                </c:pt>
                <c:pt idx="16">
                  <c:v>2.7318308342702657</c:v>
                </c:pt>
                <c:pt idx="17">
                  <c:v>2.7440327067158599</c:v>
                </c:pt>
                <c:pt idx="18">
                  <c:v>2.744529967919429</c:v>
                </c:pt>
                <c:pt idx="19">
                  <c:v>2.7098430869658685</c:v>
                </c:pt>
                <c:pt idx="20">
                  <c:v>2.5040889919931697</c:v>
                </c:pt>
                <c:pt idx="21">
                  <c:v>2.2750518714836021</c:v>
                </c:pt>
                <c:pt idx="22">
                  <c:v>2.0723291967760904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1C-A840-B7E1-C97991C40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003360"/>
        <c:axId val="747981632"/>
      </c:lineChart>
      <c:dateAx>
        <c:axId val="755003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747981632"/>
        <c:crosses val="autoZero"/>
        <c:auto val="1"/>
        <c:lblOffset val="100"/>
        <c:baseTimeUnit val="days"/>
      </c:dateAx>
      <c:valAx>
        <c:axId val="74798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75500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C$5" lockText="1" noThreeD="1"/>
</file>

<file path=xl/ctrlProps/ctrlProp2.xml><?xml version="1.0" encoding="utf-8"?>
<formControlPr xmlns="http://schemas.microsoft.com/office/spreadsheetml/2009/9/main" objectType="CheckBox" checked="Checked" fmlaLink="$I$8" lockText="1" noThreeD="1"/>
</file>

<file path=xl/ctrlProps/ctrlProp3.xml><?xml version="1.0" encoding="utf-8"?>
<formControlPr xmlns="http://schemas.microsoft.com/office/spreadsheetml/2009/9/main" objectType="CheckBox" checked="Checked" fmlaLink="$I$9" lockText="1" noThreeD="1"/>
</file>

<file path=xl/ctrlProps/ctrlProp4.xml><?xml version="1.0" encoding="utf-8"?>
<formControlPr xmlns="http://schemas.microsoft.com/office/spreadsheetml/2009/9/main" objectType="CheckBox" checked="Checked" fmlaLink="$I$10" lockText="1" noThreeD="1"/>
</file>

<file path=xl/ctrlProps/ctrlProp5.xml><?xml version="1.0" encoding="utf-8"?>
<formControlPr xmlns="http://schemas.microsoft.com/office/spreadsheetml/2009/9/main" objectType="CheckBox" fmlaLink="$I$11" lockText="1" noThreeD="1"/>
</file>

<file path=xl/ctrlProps/ctrlProp6.xml><?xml version="1.0" encoding="utf-8"?>
<formControlPr xmlns="http://schemas.microsoft.com/office/spreadsheetml/2009/9/main" objectType="CheckBox" fmlaLink="$I$12" lockText="1" noThreeD="1"/>
</file>

<file path=xl/ctrlProps/ctrlProp7.xml><?xml version="1.0" encoding="utf-8"?>
<formControlPr xmlns="http://schemas.microsoft.com/office/spreadsheetml/2009/9/main" objectType="CheckBox" fmlaLink="$I$13" lockText="1" noThreeD="1"/>
</file>

<file path=xl/ctrlProps/ctrlProp8.xml><?xml version="1.0" encoding="utf-8"?>
<formControlPr xmlns="http://schemas.microsoft.com/office/spreadsheetml/2009/9/main" objectType="CheckBox" fmlaLink="$I$14" lockText="1" noThreeD="1"/>
</file>

<file path=xl/ctrlProps/ctrlProp9.xml><?xml version="1.0" encoding="utf-8"?>
<formControlPr xmlns="http://schemas.microsoft.com/office/spreadsheetml/2009/9/main" objectType="CheckBox" fmlaLink="#REF!" lockText="1" noThreeD="1"/>
</file>

<file path=xl/ctrlProps/ctrlProp10.xml><?xml version="1.0" encoding="utf-8"?>
<formControlPr xmlns="http://schemas.microsoft.com/office/spreadsheetml/2009/9/main" objectType="CheckBox" fmlaLink="#REF!" lockText="1" noThreeD="1"/>
</file>

<file path=xl/ctrlProps/ctrlProp11.xml><?xml version="1.0" encoding="utf-8"?>
<formControlPr xmlns="http://schemas.microsoft.com/office/spreadsheetml/2009/9/main" objectType="CheckBox" fmlaLink="#REF!" lockText="1" noThreeD="1"/>
</file>

<file path=xl/ctrlProps/ctrlProp12.xml><?xml version="1.0" encoding="utf-8"?>
<formControlPr xmlns="http://schemas.microsoft.com/office/spreadsheetml/2009/9/main" objectType="CheckBox" fmlaLink="#REF!" lockText="1" noThreeD="1"/>
</file>

<file path=xl/ctrlProps/ctrlProp13.xml><?xml version="1.0" encoding="utf-8"?>
<formControlPr xmlns="http://schemas.microsoft.com/office/spreadsheetml/2009/9/main" objectType="CheckBox" fmlaLink="#REF!" lockText="1" noThreeD="1"/>
</file>

<file path=xl/ctrlProps/ctrlProp14.xml><?xml version="1.0" encoding="utf-8"?>
<formControlPr xmlns="http://schemas.microsoft.com/office/spreadsheetml/2009/9/main" objectType="CheckBox" checked="Checked" fmlaLink="#REF!" lockText="1" noThreeD="1"/>
</file>

<file path=xl/ctrlProps/ctrlProp15.xml><?xml version="1.0" encoding="utf-8"?>
<formControlPr xmlns="http://schemas.microsoft.com/office/spreadsheetml/2009/9/main" objectType="CheckBox" checked="Checked" fmlaLink="$I$15" lockText="1" noThreeD="1"/>
</file>

<file path=xl/ctrlProps/ctrlProp16.xml><?xml version="1.0" encoding="utf-8"?>
<formControlPr xmlns="http://schemas.microsoft.com/office/spreadsheetml/2009/9/main" objectType="CheckBox" checked="Checked" fmlaLink="$I$16" lockText="1" noThreeD="1"/>
</file>

<file path=xl/ctrlProps/ctrlProp17.xml><?xml version="1.0" encoding="utf-8"?>
<formControlPr xmlns="http://schemas.microsoft.com/office/spreadsheetml/2009/9/main" objectType="CheckBox" checked="Checked" fmlaLink="$I$17" lockText="1" noThreeD="1"/>
</file>

<file path=xl/ctrlProps/ctrlProp18.xml><?xml version="1.0" encoding="utf-8"?>
<formControlPr xmlns="http://schemas.microsoft.com/office/spreadsheetml/2009/9/main" objectType="CheckBox" checked="Checked" fmlaLink="$I$18" lockText="1" noThreeD="1"/>
</file>

<file path=xl/ctrlProps/ctrlProp19.xml><?xml version="1.0" encoding="utf-8"?>
<formControlPr xmlns="http://schemas.microsoft.com/office/spreadsheetml/2009/9/main" objectType="CheckBox" fmlaLink="$I$19" lockText="1" noThreeD="1"/>
</file>

<file path=xl/ctrlProps/ctrlProp20.xml><?xml version="1.0" encoding="utf-8"?>
<formControlPr xmlns="http://schemas.microsoft.com/office/spreadsheetml/2009/9/main" objectType="CheckBox" fmlaLink="$I$20" lockText="1" noThreeD="1"/>
</file>

<file path=xl/ctrlProps/ctrlProp21.xml><?xml version="1.0" encoding="utf-8"?>
<formControlPr xmlns="http://schemas.microsoft.com/office/spreadsheetml/2009/9/main" objectType="CheckBox" fmlaLink="$I$21" lockText="1" noThreeD="1"/>
</file>

<file path=xl/ctrlProps/ctrlProp22.xml><?xml version="1.0" encoding="utf-8"?>
<formControlPr xmlns="http://schemas.microsoft.com/office/spreadsheetml/2009/9/main" objectType="CheckBox" fmlaLink="$I$22" lockText="1" noThreeD="1"/>
</file>

<file path=xl/ctrlProps/ctrlProp23.xml><?xml version="1.0" encoding="utf-8"?>
<formControlPr xmlns="http://schemas.microsoft.com/office/spreadsheetml/2009/9/main" objectType="CheckBox" fmlaLink="$I$23" lockText="1" noThreeD="1"/>
</file>

<file path=xl/ctrlProps/ctrlProp24.xml><?xml version="1.0" encoding="utf-8"?>
<formControlPr xmlns="http://schemas.microsoft.com/office/spreadsheetml/2009/9/main" objectType="CheckBox" fmlaLink="$I$24" lockText="1" noThreeD="1"/>
</file>

<file path=xl/ctrlProps/ctrlProp25.xml><?xml version="1.0" encoding="utf-8"?>
<formControlPr xmlns="http://schemas.microsoft.com/office/spreadsheetml/2009/9/main" objectType="CheckBox" fmlaLink="$I$25" lockText="1" noThreeD="1"/>
</file>

<file path=xl/ctrlProps/ctrlProp26.xml><?xml version="1.0" encoding="utf-8"?>
<formControlPr xmlns="http://schemas.microsoft.com/office/spreadsheetml/2009/9/main" objectType="CheckBox" fmlaLink="$I$26" lockText="1" noThreeD="1"/>
</file>

<file path=xl/ctrlProps/ctrlProp27.xml><?xml version="1.0" encoding="utf-8"?>
<formControlPr xmlns="http://schemas.microsoft.com/office/spreadsheetml/2009/9/main" objectType="CheckBox" fmlaLink="$I$27" lockText="1" noThreeD="1"/>
</file>

<file path=xl/ctrlProps/ctrlProp28.xml><?xml version="1.0" encoding="utf-8"?>
<formControlPr xmlns="http://schemas.microsoft.com/office/spreadsheetml/2009/9/main" objectType="CheckBox" fmlaLink="$I$28" lockText="1" noThreeD="1"/>
</file>

<file path=xl/ctrlProps/ctrlProp29.xml><?xml version="1.0" encoding="utf-8"?>
<formControlPr xmlns="http://schemas.microsoft.com/office/spreadsheetml/2009/9/main" objectType="CheckBox" fmlaLink="$I$29" lockText="1" noThreeD="1"/>
</file>

<file path=xl/ctrlProps/ctrlProp30.xml><?xml version="1.0" encoding="utf-8"?>
<formControlPr xmlns="http://schemas.microsoft.com/office/spreadsheetml/2009/9/main" objectType="CheckBox" fmlaLink="$I$30" lockText="1" noThreeD="1"/>
</file>

<file path=xl/ctrlProps/ctrlProp31.xml><?xml version="1.0" encoding="utf-8"?>
<formControlPr xmlns="http://schemas.microsoft.com/office/spreadsheetml/2009/9/main" objectType="CheckBox" checked="Checked" fmlaLink="$I$31" lockText="1" noThreeD="1"/>
</file>

<file path=xl/ctrlProps/ctrlProp32.xml><?xml version="1.0" encoding="utf-8"?>
<formControlPr xmlns="http://schemas.microsoft.com/office/spreadsheetml/2009/9/main" objectType="CheckBox" checked="Checked" fmlaLink="$I$32" lockText="1" noThreeD="1"/>
</file>

<file path=xl/ctrlProps/ctrlProp33.xml><?xml version="1.0" encoding="utf-8"?>
<formControlPr xmlns="http://schemas.microsoft.com/office/spreadsheetml/2009/9/main" objectType="CheckBox" checked="Checked" fmlaLink="$I$33" lockText="1" noThreeD="1"/>
</file>

<file path=xl/ctrlProps/ctrlProp34.xml><?xml version="1.0" encoding="utf-8"?>
<formControlPr xmlns="http://schemas.microsoft.com/office/spreadsheetml/2009/9/main" objectType="CheckBox" checked="Checked" fmlaLink="$I$34" lockText="1" noThreeD="1"/>
</file>

<file path=xl/ctrlProps/ctrlProp35.xml><?xml version="1.0" encoding="utf-8"?>
<formControlPr xmlns="http://schemas.microsoft.com/office/spreadsheetml/2009/9/main" objectType="CheckBox" checked="Checked" fmlaLink="$I$35" lockText="1" noThreeD="1"/>
</file>

<file path=xl/ctrlProps/ctrlProp36.xml><?xml version="1.0" encoding="utf-8"?>
<formControlPr xmlns="http://schemas.microsoft.com/office/spreadsheetml/2009/9/main" objectType="CheckBox" checked="Checked" fmlaLink="$I$36" lockText="1" noThreeD="1"/>
</file>

<file path=xl/ctrlProps/ctrlProp37.xml><?xml version="1.0" encoding="utf-8"?>
<formControlPr xmlns="http://schemas.microsoft.com/office/spreadsheetml/2009/9/main" objectType="CheckBox" checked="Checked" fmlaLink="$I$37" lockText="1" noThreeD="1"/>
</file>

<file path=xl/ctrlProps/ctrlProp38.xml><?xml version="1.0" encoding="utf-8"?>
<formControlPr xmlns="http://schemas.microsoft.com/office/spreadsheetml/2009/9/main" objectType="CheckBox" checked="Checked" fmlaLink="$I$38" lockText="1" noThreeD="1"/>
</file>

<file path=xl/ctrlProps/ctrlProp39.xml><?xml version="1.0" encoding="utf-8"?>
<formControlPr xmlns="http://schemas.microsoft.com/office/spreadsheetml/2009/9/main" objectType="CheckBox" checked="Checked" fmlaLink="$I$39" lockText="1" noThreeD="1"/>
</file>

<file path=xl/ctrlProps/ctrlProp40.xml><?xml version="1.0" encoding="utf-8"?>
<formControlPr xmlns="http://schemas.microsoft.com/office/spreadsheetml/2009/9/main" objectType="CheckBox" checked="Checked" fmlaLink="$I$40" lockText="1" noThreeD="1"/>
</file>

<file path=xl/ctrlProps/ctrlProp41.xml><?xml version="1.0" encoding="utf-8"?>
<formControlPr xmlns="http://schemas.microsoft.com/office/spreadsheetml/2009/9/main" objectType="CheckBox" checked="Checked" fmlaLink="$I$41" lockText="1" noThreeD="1"/>
</file>

<file path=xl/ctrlProps/ctrlProp42.xml><?xml version="1.0" encoding="utf-8"?>
<formControlPr xmlns="http://schemas.microsoft.com/office/spreadsheetml/2009/9/main" objectType="CheckBox" checked="Checked" fmlaLink="$I$42" lockText="1" noThreeD="1"/>
</file>

<file path=xl/ctrlProps/ctrlProp43.xml><?xml version="1.0" encoding="utf-8"?>
<formControlPr xmlns="http://schemas.microsoft.com/office/spreadsheetml/2009/9/main" objectType="CheckBox" fmlaLink="$I$43" lockText="1" noThreeD="1"/>
</file>

<file path=xl/ctrlProps/ctrlProp44.xml><?xml version="1.0" encoding="utf-8"?>
<formControlPr xmlns="http://schemas.microsoft.com/office/spreadsheetml/2009/9/main" objectType="CheckBox" fmlaLink="$I$44" lockText="1" noThreeD="1"/>
</file>

<file path=xl/ctrlProps/ctrlProp45.xml><?xml version="1.0" encoding="utf-8"?>
<formControlPr xmlns="http://schemas.microsoft.com/office/spreadsheetml/2009/9/main" objectType="CheckBox" checked="Checked" fmlaLink="$I$45" lockText="1" noThreeD="1"/>
</file>

<file path=xl/ctrlProps/ctrlProp46.xml><?xml version="1.0" encoding="utf-8"?>
<formControlPr xmlns="http://schemas.microsoft.com/office/spreadsheetml/2009/9/main" objectType="CheckBox" fmlaLink="$I$46" lockText="1" noThreeD="1"/>
</file>

<file path=xl/ctrlProps/ctrlProp47.xml><?xml version="1.0" encoding="utf-8"?>
<formControlPr xmlns="http://schemas.microsoft.com/office/spreadsheetml/2009/9/main" objectType="CheckBox" fmlaLink="$I$47" lockText="1" noThreeD="1"/>
</file>

<file path=xl/ctrlProps/ctrlProp48.xml><?xml version="1.0" encoding="utf-8"?>
<formControlPr xmlns="http://schemas.microsoft.com/office/spreadsheetml/2009/9/main" objectType="CheckBox" fmlaLink="$I$48" lockText="1" noThreeD="1"/>
</file>

<file path=xl/ctrlProps/ctrlProp49.xml><?xml version="1.0" encoding="utf-8"?>
<formControlPr xmlns="http://schemas.microsoft.com/office/spreadsheetml/2009/9/main" objectType="CheckBox" fmlaLink="$I$49" lockText="1" noThreeD="1"/>
</file>

<file path=xl/ctrlProps/ctrlProp50.xml><?xml version="1.0" encoding="utf-8"?>
<formControlPr xmlns="http://schemas.microsoft.com/office/spreadsheetml/2009/9/main" objectType="CheckBox" checked="Checked" fmlaLink="$I$50" lockText="1" noThreeD="1"/>
</file>

<file path=xl/ctrlProps/ctrlProp51.xml><?xml version="1.0" encoding="utf-8"?>
<formControlPr xmlns="http://schemas.microsoft.com/office/spreadsheetml/2009/9/main" objectType="CheckBox" fmlaLink="$I$51" lockText="1" noThreeD="1"/>
</file>

<file path=xl/ctrlProps/ctrlProp52.xml><?xml version="1.0" encoding="utf-8"?>
<formControlPr xmlns="http://schemas.microsoft.com/office/spreadsheetml/2009/9/main" objectType="CheckBox" fmlaLink="$I$52" lockText="1" noThreeD="1"/>
</file>

<file path=xl/ctrlProps/ctrlProp53.xml><?xml version="1.0" encoding="utf-8"?>
<formControlPr xmlns="http://schemas.microsoft.com/office/spreadsheetml/2009/9/main" objectType="CheckBox" fmlaLink="$I$53" lockText="1" noThreeD="1"/>
</file>

<file path=xl/ctrlProps/ctrlProp54.xml><?xml version="1.0" encoding="utf-8"?>
<formControlPr xmlns="http://schemas.microsoft.com/office/spreadsheetml/2009/9/main" objectType="CheckBox" fmlaLink="$I$54" lockText="1" noThreeD="1"/>
</file>

<file path=xl/ctrlProps/ctrlProp55.xml><?xml version="1.0" encoding="utf-8"?>
<formControlPr xmlns="http://schemas.microsoft.com/office/spreadsheetml/2009/9/main" objectType="CheckBox" checked="Checked" fmlaLink="$I$55" lockText="1" noThreeD="1"/>
</file>

<file path=xl/ctrlProps/ctrlProp56.xml><?xml version="1.0" encoding="utf-8"?>
<formControlPr xmlns="http://schemas.microsoft.com/office/spreadsheetml/2009/9/main" objectType="CheckBox" fmlaLink="$I$56" lockText="1" noThreeD="1"/>
</file>

<file path=xl/ctrlProps/ctrlProp57.xml><?xml version="1.0" encoding="utf-8"?>
<formControlPr xmlns="http://schemas.microsoft.com/office/spreadsheetml/2009/9/main" objectType="CheckBox" fmlaLink="$I$57" lockText="1" noThreeD="1"/>
</file>

<file path=xl/ctrlProps/ctrlProp58.xml><?xml version="1.0" encoding="utf-8"?>
<formControlPr xmlns="http://schemas.microsoft.com/office/spreadsheetml/2009/9/main" objectType="CheckBox" fmlaLink="$I$58" lockText="1" noThreeD="1"/>
</file>

<file path=xl/ctrlProps/ctrlProp59.xml><?xml version="1.0" encoding="utf-8"?>
<formControlPr xmlns="http://schemas.microsoft.com/office/spreadsheetml/2009/9/main" objectType="CheckBox" fmlaLink="$I$59" lockText="1" noThreeD="1"/>
</file>

<file path=xl/ctrlProps/ctrlProp60.xml><?xml version="1.0" encoding="utf-8"?>
<formControlPr xmlns="http://schemas.microsoft.com/office/spreadsheetml/2009/9/main" objectType="CheckBox" checked="Checked" fmlaLink="$I$60" lockText="1" noThreeD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3</xdr:row>
          <xdr:rowOff>152400</xdr:rowOff>
        </xdr:from>
        <xdr:to>
          <xdr:col>1</xdr:col>
          <xdr:colOff>457200</xdr:colOff>
          <xdr:row>5</xdr:row>
          <xdr:rowOff>50800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staticQuote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292100</xdr:colOff>
          <xdr:row>8</xdr:row>
          <xdr:rowOff>127000</xdr:rowOff>
        </xdr:to>
        <xdr:sp macro="" textlink="">
          <xdr:nvSpPr>
            <xdr:cNvPr id="2884" name="Check Box 836" hidden="1">
              <a:extLst>
                <a:ext uri="{63B3BB69-23CF-44E3-9099-C40C66FF867C}">
                  <a14:compatExt spid="_x0000_s2884"/>
                </a:ext>
                <a:ext uri="{FF2B5EF4-FFF2-40B4-BE49-F238E27FC236}">
                  <a16:creationId xmlns:a16="http://schemas.microsoft.com/office/drawing/2014/main" id="{00000000-0008-0000-0000-00004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292100</xdr:colOff>
          <xdr:row>9</xdr:row>
          <xdr:rowOff>139700</xdr:rowOff>
        </xdr:to>
        <xdr:sp macro="" textlink="">
          <xdr:nvSpPr>
            <xdr:cNvPr id="2885" name="Check Box 837" hidden="1">
              <a:extLst>
                <a:ext uri="{63B3BB69-23CF-44E3-9099-C40C66FF867C}">
                  <a14:compatExt spid="_x0000_s2885"/>
                </a:ext>
                <a:ext uri="{FF2B5EF4-FFF2-40B4-BE49-F238E27FC236}">
                  <a16:creationId xmlns:a16="http://schemas.microsoft.com/office/drawing/2014/main" id="{00000000-0008-0000-0000-00004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292100</xdr:colOff>
          <xdr:row>10</xdr:row>
          <xdr:rowOff>139700</xdr:rowOff>
        </xdr:to>
        <xdr:sp macro="" textlink="">
          <xdr:nvSpPr>
            <xdr:cNvPr id="2886" name="Check Box 838" hidden="1">
              <a:extLst>
                <a:ext uri="{63B3BB69-23CF-44E3-9099-C40C66FF867C}">
                  <a14:compatExt spid="_x0000_s2886"/>
                </a:ext>
                <a:ext uri="{FF2B5EF4-FFF2-40B4-BE49-F238E27FC236}">
                  <a16:creationId xmlns:a16="http://schemas.microsoft.com/office/drawing/2014/main" id="{00000000-0008-0000-0000-00004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8</xdr:col>
          <xdr:colOff>292100</xdr:colOff>
          <xdr:row>11</xdr:row>
          <xdr:rowOff>139700</xdr:rowOff>
        </xdr:to>
        <xdr:sp macro="" textlink="">
          <xdr:nvSpPr>
            <xdr:cNvPr id="2887" name="Check Box 839" hidden="1">
              <a:extLst>
                <a:ext uri="{63B3BB69-23CF-44E3-9099-C40C66FF867C}">
                  <a14:compatExt spid="_x0000_s2887"/>
                </a:ext>
                <a:ext uri="{FF2B5EF4-FFF2-40B4-BE49-F238E27FC236}">
                  <a16:creationId xmlns:a16="http://schemas.microsoft.com/office/drawing/2014/main" id="{00000000-0008-0000-0000-00004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8</xdr:col>
          <xdr:colOff>292100</xdr:colOff>
          <xdr:row>12</xdr:row>
          <xdr:rowOff>139700</xdr:rowOff>
        </xdr:to>
        <xdr:sp macro="" textlink="">
          <xdr:nvSpPr>
            <xdr:cNvPr id="2888" name="Check Box 840" hidden="1">
              <a:extLst>
                <a:ext uri="{63B3BB69-23CF-44E3-9099-C40C66FF867C}">
                  <a14:compatExt spid="_x0000_s2888"/>
                </a:ext>
                <a:ext uri="{FF2B5EF4-FFF2-40B4-BE49-F238E27FC236}">
                  <a16:creationId xmlns:a16="http://schemas.microsoft.com/office/drawing/2014/main" id="{00000000-0008-0000-0000-00004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8</xdr:col>
          <xdr:colOff>292100</xdr:colOff>
          <xdr:row>13</xdr:row>
          <xdr:rowOff>139700</xdr:rowOff>
        </xdr:to>
        <xdr:sp macro="" textlink="">
          <xdr:nvSpPr>
            <xdr:cNvPr id="2889" name="Check Box 841" hidden="1">
              <a:extLst>
                <a:ext uri="{63B3BB69-23CF-44E3-9099-C40C66FF867C}">
                  <a14:compatExt spid="_x0000_s2889"/>
                </a:ext>
                <a:ext uri="{FF2B5EF4-FFF2-40B4-BE49-F238E27FC236}">
                  <a16:creationId xmlns:a16="http://schemas.microsoft.com/office/drawing/2014/main" id="{00000000-0008-0000-0000-00004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8</xdr:col>
          <xdr:colOff>292100</xdr:colOff>
          <xdr:row>14</xdr:row>
          <xdr:rowOff>139700</xdr:rowOff>
        </xdr:to>
        <xdr:sp macro="" textlink="">
          <xdr:nvSpPr>
            <xdr:cNvPr id="2890" name="Check Box 842" hidden="1">
              <a:extLst>
                <a:ext uri="{63B3BB69-23CF-44E3-9099-C40C66FF867C}">
                  <a14:compatExt spid="_x0000_s2890"/>
                </a:ext>
                <a:ext uri="{FF2B5EF4-FFF2-40B4-BE49-F238E27FC236}">
                  <a16:creationId xmlns:a16="http://schemas.microsoft.com/office/drawing/2014/main" id="{00000000-0008-0000-0000-00004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8</xdr:col>
          <xdr:colOff>292100</xdr:colOff>
          <xdr:row>15</xdr:row>
          <xdr:rowOff>139700</xdr:rowOff>
        </xdr:to>
        <xdr:sp macro="" textlink="">
          <xdr:nvSpPr>
            <xdr:cNvPr id="2891" name="Check Box 843" hidden="1">
              <a:extLst>
                <a:ext uri="{63B3BB69-23CF-44E3-9099-C40C66FF867C}">
                  <a14:compatExt spid="_x0000_s2891"/>
                </a:ext>
                <a:ext uri="{FF2B5EF4-FFF2-40B4-BE49-F238E27FC236}">
                  <a16:creationId xmlns:a16="http://schemas.microsoft.com/office/drawing/2014/main" id="{00000000-0008-0000-0000-00004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8</xdr:col>
          <xdr:colOff>292100</xdr:colOff>
          <xdr:row>15</xdr:row>
          <xdr:rowOff>139700</xdr:rowOff>
        </xdr:to>
        <xdr:sp macro="" textlink="">
          <xdr:nvSpPr>
            <xdr:cNvPr id="2892" name="Check Box 844" hidden="1">
              <a:extLst>
                <a:ext uri="{63B3BB69-23CF-44E3-9099-C40C66FF867C}">
                  <a14:compatExt spid="_x0000_s2892"/>
                </a:ext>
                <a:ext uri="{FF2B5EF4-FFF2-40B4-BE49-F238E27FC236}">
                  <a16:creationId xmlns:a16="http://schemas.microsoft.com/office/drawing/2014/main" id="{00000000-0008-0000-0000-00004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8</xdr:col>
          <xdr:colOff>292100</xdr:colOff>
          <xdr:row>15</xdr:row>
          <xdr:rowOff>139700</xdr:rowOff>
        </xdr:to>
        <xdr:sp macro="" textlink="">
          <xdr:nvSpPr>
            <xdr:cNvPr id="2893" name="Check Box 845" hidden="1">
              <a:extLst>
                <a:ext uri="{63B3BB69-23CF-44E3-9099-C40C66FF867C}">
                  <a14:compatExt spid="_x0000_s2893"/>
                </a:ext>
                <a:ext uri="{FF2B5EF4-FFF2-40B4-BE49-F238E27FC236}">
                  <a16:creationId xmlns:a16="http://schemas.microsoft.com/office/drawing/2014/main" id="{00000000-0008-0000-0000-00004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8</xdr:col>
          <xdr:colOff>292100</xdr:colOff>
          <xdr:row>15</xdr:row>
          <xdr:rowOff>139700</xdr:rowOff>
        </xdr:to>
        <xdr:sp macro="" textlink="">
          <xdr:nvSpPr>
            <xdr:cNvPr id="2894" name="Check Box 846" hidden="1">
              <a:extLst>
                <a:ext uri="{63B3BB69-23CF-44E3-9099-C40C66FF867C}">
                  <a14:compatExt spid="_x0000_s2894"/>
                </a:ext>
                <a:ext uri="{FF2B5EF4-FFF2-40B4-BE49-F238E27FC236}">
                  <a16:creationId xmlns:a16="http://schemas.microsoft.com/office/drawing/2014/main" id="{00000000-0008-0000-0000-00004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8</xdr:col>
          <xdr:colOff>292100</xdr:colOff>
          <xdr:row>15</xdr:row>
          <xdr:rowOff>139700</xdr:rowOff>
        </xdr:to>
        <xdr:sp macro="" textlink="">
          <xdr:nvSpPr>
            <xdr:cNvPr id="2895" name="Check Box 847" hidden="1">
              <a:extLst>
                <a:ext uri="{63B3BB69-23CF-44E3-9099-C40C66FF867C}">
                  <a14:compatExt spid="_x0000_s2895"/>
                </a:ext>
                <a:ext uri="{FF2B5EF4-FFF2-40B4-BE49-F238E27FC236}">
                  <a16:creationId xmlns:a16="http://schemas.microsoft.com/office/drawing/2014/main" id="{00000000-0008-0000-0000-00004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8</xdr:col>
          <xdr:colOff>292100</xdr:colOff>
          <xdr:row>15</xdr:row>
          <xdr:rowOff>139700</xdr:rowOff>
        </xdr:to>
        <xdr:sp macro="" textlink="">
          <xdr:nvSpPr>
            <xdr:cNvPr id="2896" name="Check Box 848" hidden="1">
              <a:extLst>
                <a:ext uri="{63B3BB69-23CF-44E3-9099-C40C66FF867C}">
                  <a14:compatExt spid="_x0000_s2896"/>
                </a:ext>
                <a:ext uri="{FF2B5EF4-FFF2-40B4-BE49-F238E27FC236}">
                  <a16:creationId xmlns:a16="http://schemas.microsoft.com/office/drawing/2014/main" id="{00000000-0008-0000-0000-00005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8</xdr:col>
          <xdr:colOff>292100</xdr:colOff>
          <xdr:row>15</xdr:row>
          <xdr:rowOff>139700</xdr:rowOff>
        </xdr:to>
        <xdr:sp macro="" textlink="">
          <xdr:nvSpPr>
            <xdr:cNvPr id="2897" name="Check Box 849" hidden="1">
              <a:extLst>
                <a:ext uri="{63B3BB69-23CF-44E3-9099-C40C66FF867C}">
                  <a14:compatExt spid="_x0000_s2897"/>
                </a:ext>
                <a:ext uri="{FF2B5EF4-FFF2-40B4-BE49-F238E27FC236}">
                  <a16:creationId xmlns:a16="http://schemas.microsoft.com/office/drawing/2014/main" id="{00000000-0008-0000-0000-00005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8</xdr:col>
          <xdr:colOff>292100</xdr:colOff>
          <xdr:row>16</xdr:row>
          <xdr:rowOff>139700</xdr:rowOff>
        </xdr:to>
        <xdr:sp macro="" textlink="">
          <xdr:nvSpPr>
            <xdr:cNvPr id="2898" name="Check Box 850" hidden="1">
              <a:extLst>
                <a:ext uri="{63B3BB69-23CF-44E3-9099-C40C66FF867C}">
                  <a14:compatExt spid="_x0000_s2898"/>
                </a:ext>
                <a:ext uri="{FF2B5EF4-FFF2-40B4-BE49-F238E27FC236}">
                  <a16:creationId xmlns:a16="http://schemas.microsoft.com/office/drawing/2014/main" id="{00000000-0008-0000-0000-00005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8</xdr:col>
          <xdr:colOff>292100</xdr:colOff>
          <xdr:row>17</xdr:row>
          <xdr:rowOff>139700</xdr:rowOff>
        </xdr:to>
        <xdr:sp macro="" textlink="">
          <xdr:nvSpPr>
            <xdr:cNvPr id="2899" name="Check Box 851" hidden="1">
              <a:extLst>
                <a:ext uri="{63B3BB69-23CF-44E3-9099-C40C66FF867C}">
                  <a14:compatExt spid="_x0000_s2899"/>
                </a:ext>
                <a:ext uri="{FF2B5EF4-FFF2-40B4-BE49-F238E27FC236}">
                  <a16:creationId xmlns:a16="http://schemas.microsoft.com/office/drawing/2014/main" id="{00000000-0008-0000-0000-00005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8</xdr:col>
          <xdr:colOff>292100</xdr:colOff>
          <xdr:row>18</xdr:row>
          <xdr:rowOff>139700</xdr:rowOff>
        </xdr:to>
        <xdr:sp macro="" textlink="">
          <xdr:nvSpPr>
            <xdr:cNvPr id="2900" name="Check Box 852" hidden="1">
              <a:extLst>
                <a:ext uri="{63B3BB69-23CF-44E3-9099-C40C66FF867C}">
                  <a14:compatExt spid="_x0000_s2900"/>
                </a:ext>
                <a:ext uri="{FF2B5EF4-FFF2-40B4-BE49-F238E27FC236}">
                  <a16:creationId xmlns:a16="http://schemas.microsoft.com/office/drawing/2014/main" id="{00000000-0008-0000-0000-00005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8</xdr:col>
          <xdr:colOff>292100</xdr:colOff>
          <xdr:row>19</xdr:row>
          <xdr:rowOff>139700</xdr:rowOff>
        </xdr:to>
        <xdr:sp macro="" textlink="">
          <xdr:nvSpPr>
            <xdr:cNvPr id="2901" name="Check Box 853" hidden="1">
              <a:extLst>
                <a:ext uri="{63B3BB69-23CF-44E3-9099-C40C66FF867C}">
                  <a14:compatExt spid="_x0000_s2901"/>
                </a:ext>
                <a:ext uri="{FF2B5EF4-FFF2-40B4-BE49-F238E27FC236}">
                  <a16:creationId xmlns:a16="http://schemas.microsoft.com/office/drawing/2014/main" id="{00000000-0008-0000-0000-00005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8</xdr:col>
          <xdr:colOff>292100</xdr:colOff>
          <xdr:row>20</xdr:row>
          <xdr:rowOff>139700</xdr:rowOff>
        </xdr:to>
        <xdr:sp macro="" textlink="">
          <xdr:nvSpPr>
            <xdr:cNvPr id="2902" name="Check Box 854" hidden="1">
              <a:extLst>
                <a:ext uri="{63B3BB69-23CF-44E3-9099-C40C66FF867C}">
                  <a14:compatExt spid="_x0000_s2902"/>
                </a:ext>
                <a:ext uri="{FF2B5EF4-FFF2-40B4-BE49-F238E27FC236}">
                  <a16:creationId xmlns:a16="http://schemas.microsoft.com/office/drawing/2014/main" id="{00000000-0008-0000-0000-00005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8</xdr:col>
          <xdr:colOff>292100</xdr:colOff>
          <xdr:row>21</xdr:row>
          <xdr:rowOff>139700</xdr:rowOff>
        </xdr:to>
        <xdr:sp macro="" textlink="">
          <xdr:nvSpPr>
            <xdr:cNvPr id="2903" name="Check Box 855" hidden="1">
              <a:extLst>
                <a:ext uri="{63B3BB69-23CF-44E3-9099-C40C66FF867C}">
                  <a14:compatExt spid="_x0000_s2903"/>
                </a:ext>
                <a:ext uri="{FF2B5EF4-FFF2-40B4-BE49-F238E27FC236}">
                  <a16:creationId xmlns:a16="http://schemas.microsoft.com/office/drawing/2014/main" id="{00000000-0008-0000-0000-00005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8</xdr:col>
          <xdr:colOff>292100</xdr:colOff>
          <xdr:row>22</xdr:row>
          <xdr:rowOff>139700</xdr:rowOff>
        </xdr:to>
        <xdr:sp macro="" textlink="">
          <xdr:nvSpPr>
            <xdr:cNvPr id="2904" name="Check Box 856" hidden="1">
              <a:extLst>
                <a:ext uri="{63B3BB69-23CF-44E3-9099-C40C66FF867C}">
                  <a14:compatExt spid="_x0000_s2904"/>
                </a:ext>
                <a:ext uri="{FF2B5EF4-FFF2-40B4-BE49-F238E27FC236}">
                  <a16:creationId xmlns:a16="http://schemas.microsoft.com/office/drawing/2014/main" id="{00000000-0008-0000-0000-00005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8</xdr:col>
          <xdr:colOff>292100</xdr:colOff>
          <xdr:row>23</xdr:row>
          <xdr:rowOff>139700</xdr:rowOff>
        </xdr:to>
        <xdr:sp macro="" textlink="">
          <xdr:nvSpPr>
            <xdr:cNvPr id="2905" name="Check Box 857" hidden="1">
              <a:extLst>
                <a:ext uri="{63B3BB69-23CF-44E3-9099-C40C66FF867C}">
                  <a14:compatExt spid="_x0000_s2905"/>
                </a:ext>
                <a:ext uri="{FF2B5EF4-FFF2-40B4-BE49-F238E27FC236}">
                  <a16:creationId xmlns:a16="http://schemas.microsoft.com/office/drawing/2014/main" id="{00000000-0008-0000-0000-00005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8</xdr:col>
          <xdr:colOff>292100</xdr:colOff>
          <xdr:row>24</xdr:row>
          <xdr:rowOff>139700</xdr:rowOff>
        </xdr:to>
        <xdr:sp macro="" textlink="">
          <xdr:nvSpPr>
            <xdr:cNvPr id="2906" name="Check Box 858" hidden="1">
              <a:extLst>
                <a:ext uri="{63B3BB69-23CF-44E3-9099-C40C66FF867C}">
                  <a14:compatExt spid="_x0000_s2906"/>
                </a:ext>
                <a:ext uri="{FF2B5EF4-FFF2-40B4-BE49-F238E27FC236}">
                  <a16:creationId xmlns:a16="http://schemas.microsoft.com/office/drawing/2014/main" id="{00000000-0008-0000-0000-00005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8</xdr:col>
          <xdr:colOff>292100</xdr:colOff>
          <xdr:row>25</xdr:row>
          <xdr:rowOff>139700</xdr:rowOff>
        </xdr:to>
        <xdr:sp macro="" textlink="">
          <xdr:nvSpPr>
            <xdr:cNvPr id="2907" name="Check Box 859" hidden="1">
              <a:extLst>
                <a:ext uri="{63B3BB69-23CF-44E3-9099-C40C66FF867C}">
                  <a14:compatExt spid="_x0000_s2907"/>
                </a:ext>
                <a:ext uri="{FF2B5EF4-FFF2-40B4-BE49-F238E27FC236}">
                  <a16:creationId xmlns:a16="http://schemas.microsoft.com/office/drawing/2014/main" id="{00000000-0008-0000-0000-00005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8</xdr:col>
          <xdr:colOff>292100</xdr:colOff>
          <xdr:row>26</xdr:row>
          <xdr:rowOff>139700</xdr:rowOff>
        </xdr:to>
        <xdr:sp macro="" textlink="">
          <xdr:nvSpPr>
            <xdr:cNvPr id="2908" name="Check Box 860" hidden="1">
              <a:extLst>
                <a:ext uri="{63B3BB69-23CF-44E3-9099-C40C66FF867C}">
                  <a14:compatExt spid="_x0000_s2908"/>
                </a:ext>
                <a:ext uri="{FF2B5EF4-FFF2-40B4-BE49-F238E27FC236}">
                  <a16:creationId xmlns:a16="http://schemas.microsoft.com/office/drawing/2014/main" id="{00000000-0008-0000-0000-00005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8</xdr:col>
          <xdr:colOff>292100</xdr:colOff>
          <xdr:row>27</xdr:row>
          <xdr:rowOff>139700</xdr:rowOff>
        </xdr:to>
        <xdr:sp macro="" textlink="">
          <xdr:nvSpPr>
            <xdr:cNvPr id="2909" name="Check Box 861" hidden="1">
              <a:extLst>
                <a:ext uri="{63B3BB69-23CF-44E3-9099-C40C66FF867C}">
                  <a14:compatExt spid="_x0000_s2909"/>
                </a:ext>
                <a:ext uri="{FF2B5EF4-FFF2-40B4-BE49-F238E27FC236}">
                  <a16:creationId xmlns:a16="http://schemas.microsoft.com/office/drawing/2014/main" id="{00000000-0008-0000-0000-00005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8</xdr:col>
          <xdr:colOff>292100</xdr:colOff>
          <xdr:row>28</xdr:row>
          <xdr:rowOff>139700</xdr:rowOff>
        </xdr:to>
        <xdr:sp macro="" textlink="">
          <xdr:nvSpPr>
            <xdr:cNvPr id="2910" name="Check Box 862" hidden="1">
              <a:extLst>
                <a:ext uri="{63B3BB69-23CF-44E3-9099-C40C66FF867C}">
                  <a14:compatExt spid="_x0000_s2910"/>
                </a:ext>
                <a:ext uri="{FF2B5EF4-FFF2-40B4-BE49-F238E27FC236}">
                  <a16:creationId xmlns:a16="http://schemas.microsoft.com/office/drawing/2014/main" id="{00000000-0008-0000-0000-00005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8</xdr:col>
          <xdr:colOff>292100</xdr:colOff>
          <xdr:row>29</xdr:row>
          <xdr:rowOff>139700</xdr:rowOff>
        </xdr:to>
        <xdr:sp macro="" textlink="">
          <xdr:nvSpPr>
            <xdr:cNvPr id="2911" name="Check Box 863" hidden="1">
              <a:extLst>
                <a:ext uri="{63B3BB69-23CF-44E3-9099-C40C66FF867C}">
                  <a14:compatExt spid="_x0000_s2911"/>
                </a:ext>
                <a:ext uri="{FF2B5EF4-FFF2-40B4-BE49-F238E27FC236}">
                  <a16:creationId xmlns:a16="http://schemas.microsoft.com/office/drawing/2014/main" id="{00000000-0008-0000-0000-00005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8</xdr:col>
          <xdr:colOff>292100</xdr:colOff>
          <xdr:row>30</xdr:row>
          <xdr:rowOff>127000</xdr:rowOff>
        </xdr:to>
        <xdr:sp macro="" textlink="">
          <xdr:nvSpPr>
            <xdr:cNvPr id="2912" name="Check Box 864" hidden="1">
              <a:extLst>
                <a:ext uri="{63B3BB69-23CF-44E3-9099-C40C66FF867C}">
                  <a14:compatExt spid="_x0000_s2912"/>
                </a:ext>
                <a:ext uri="{FF2B5EF4-FFF2-40B4-BE49-F238E27FC236}">
                  <a16:creationId xmlns:a16="http://schemas.microsoft.com/office/drawing/2014/main" id="{00000000-0008-0000-0000-00006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8</xdr:col>
          <xdr:colOff>292100</xdr:colOff>
          <xdr:row>31</xdr:row>
          <xdr:rowOff>127000</xdr:rowOff>
        </xdr:to>
        <xdr:sp macro="" textlink="">
          <xdr:nvSpPr>
            <xdr:cNvPr id="2913" name="Check Box 865" hidden="1">
              <a:extLst>
                <a:ext uri="{63B3BB69-23CF-44E3-9099-C40C66FF867C}">
                  <a14:compatExt spid="_x0000_s2913"/>
                </a:ext>
                <a:ext uri="{FF2B5EF4-FFF2-40B4-BE49-F238E27FC236}">
                  <a16:creationId xmlns:a16="http://schemas.microsoft.com/office/drawing/2014/main" id="{00000000-0008-0000-0000-00006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8</xdr:col>
          <xdr:colOff>292100</xdr:colOff>
          <xdr:row>32</xdr:row>
          <xdr:rowOff>139700</xdr:rowOff>
        </xdr:to>
        <xdr:sp macro="" textlink="">
          <xdr:nvSpPr>
            <xdr:cNvPr id="2914" name="Check Box 866" hidden="1">
              <a:extLst>
                <a:ext uri="{63B3BB69-23CF-44E3-9099-C40C66FF867C}">
                  <a14:compatExt spid="_x0000_s2914"/>
                </a:ext>
                <a:ext uri="{FF2B5EF4-FFF2-40B4-BE49-F238E27FC236}">
                  <a16:creationId xmlns:a16="http://schemas.microsoft.com/office/drawing/2014/main" id="{00000000-0008-0000-0000-00006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8</xdr:col>
          <xdr:colOff>292100</xdr:colOff>
          <xdr:row>33</xdr:row>
          <xdr:rowOff>139700</xdr:rowOff>
        </xdr:to>
        <xdr:sp macro="" textlink="">
          <xdr:nvSpPr>
            <xdr:cNvPr id="2915" name="Check Box 867" hidden="1">
              <a:extLst>
                <a:ext uri="{63B3BB69-23CF-44E3-9099-C40C66FF867C}">
                  <a14:compatExt spid="_x0000_s2915"/>
                </a:ext>
                <a:ext uri="{FF2B5EF4-FFF2-40B4-BE49-F238E27FC236}">
                  <a16:creationId xmlns:a16="http://schemas.microsoft.com/office/drawing/2014/main" id="{00000000-0008-0000-0000-00006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8</xdr:col>
          <xdr:colOff>292100</xdr:colOff>
          <xdr:row>34</xdr:row>
          <xdr:rowOff>139700</xdr:rowOff>
        </xdr:to>
        <xdr:sp macro="" textlink="">
          <xdr:nvSpPr>
            <xdr:cNvPr id="2916" name="Check Box 868" hidden="1">
              <a:extLst>
                <a:ext uri="{63B3BB69-23CF-44E3-9099-C40C66FF867C}">
                  <a14:compatExt spid="_x0000_s2916"/>
                </a:ext>
                <a:ext uri="{FF2B5EF4-FFF2-40B4-BE49-F238E27FC236}">
                  <a16:creationId xmlns:a16="http://schemas.microsoft.com/office/drawing/2014/main" id="{00000000-0008-0000-0000-00006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8</xdr:col>
          <xdr:colOff>292100</xdr:colOff>
          <xdr:row>35</xdr:row>
          <xdr:rowOff>139700</xdr:rowOff>
        </xdr:to>
        <xdr:sp macro="" textlink="">
          <xdr:nvSpPr>
            <xdr:cNvPr id="2917" name="Check Box 869" hidden="1">
              <a:extLst>
                <a:ext uri="{63B3BB69-23CF-44E3-9099-C40C66FF867C}">
                  <a14:compatExt spid="_x0000_s2917"/>
                </a:ext>
                <a:ext uri="{FF2B5EF4-FFF2-40B4-BE49-F238E27FC236}">
                  <a16:creationId xmlns:a16="http://schemas.microsoft.com/office/drawing/2014/main" id="{00000000-0008-0000-0000-00006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8</xdr:col>
          <xdr:colOff>292100</xdr:colOff>
          <xdr:row>36</xdr:row>
          <xdr:rowOff>139700</xdr:rowOff>
        </xdr:to>
        <xdr:sp macro="" textlink="">
          <xdr:nvSpPr>
            <xdr:cNvPr id="2918" name="Check Box 870" hidden="1">
              <a:extLst>
                <a:ext uri="{63B3BB69-23CF-44E3-9099-C40C66FF867C}">
                  <a14:compatExt spid="_x0000_s2918"/>
                </a:ext>
                <a:ext uri="{FF2B5EF4-FFF2-40B4-BE49-F238E27FC236}">
                  <a16:creationId xmlns:a16="http://schemas.microsoft.com/office/drawing/2014/main" id="{00000000-0008-0000-0000-00006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8</xdr:col>
          <xdr:colOff>292100</xdr:colOff>
          <xdr:row>37</xdr:row>
          <xdr:rowOff>139700</xdr:rowOff>
        </xdr:to>
        <xdr:sp macro="" textlink="">
          <xdr:nvSpPr>
            <xdr:cNvPr id="2919" name="Check Box 871" hidden="1">
              <a:extLst>
                <a:ext uri="{63B3BB69-23CF-44E3-9099-C40C66FF867C}">
                  <a14:compatExt spid="_x0000_s2919"/>
                </a:ext>
                <a:ext uri="{FF2B5EF4-FFF2-40B4-BE49-F238E27FC236}">
                  <a16:creationId xmlns:a16="http://schemas.microsoft.com/office/drawing/2014/main" id="{00000000-0008-0000-0000-00006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8</xdr:col>
          <xdr:colOff>292100</xdr:colOff>
          <xdr:row>38</xdr:row>
          <xdr:rowOff>139700</xdr:rowOff>
        </xdr:to>
        <xdr:sp macro="" textlink="">
          <xdr:nvSpPr>
            <xdr:cNvPr id="2920" name="Check Box 872" hidden="1">
              <a:extLst>
                <a:ext uri="{63B3BB69-23CF-44E3-9099-C40C66FF867C}">
                  <a14:compatExt spid="_x0000_s2920"/>
                </a:ext>
                <a:ext uri="{FF2B5EF4-FFF2-40B4-BE49-F238E27FC236}">
                  <a16:creationId xmlns:a16="http://schemas.microsoft.com/office/drawing/2014/main" id="{00000000-0008-0000-0000-00006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8</xdr:col>
          <xdr:colOff>292100</xdr:colOff>
          <xdr:row>39</xdr:row>
          <xdr:rowOff>139700</xdr:rowOff>
        </xdr:to>
        <xdr:sp macro="" textlink="">
          <xdr:nvSpPr>
            <xdr:cNvPr id="2921" name="Check Box 873" hidden="1">
              <a:extLst>
                <a:ext uri="{63B3BB69-23CF-44E3-9099-C40C66FF867C}">
                  <a14:compatExt spid="_x0000_s2921"/>
                </a:ext>
                <a:ext uri="{FF2B5EF4-FFF2-40B4-BE49-F238E27FC236}">
                  <a16:creationId xmlns:a16="http://schemas.microsoft.com/office/drawing/2014/main" id="{00000000-0008-0000-0000-00006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8</xdr:col>
          <xdr:colOff>292100</xdr:colOff>
          <xdr:row>40</xdr:row>
          <xdr:rowOff>139700</xdr:rowOff>
        </xdr:to>
        <xdr:sp macro="" textlink="">
          <xdr:nvSpPr>
            <xdr:cNvPr id="2922" name="Check Box 874" hidden="1">
              <a:extLst>
                <a:ext uri="{63B3BB69-23CF-44E3-9099-C40C66FF867C}">
                  <a14:compatExt spid="_x0000_s2922"/>
                </a:ext>
                <a:ext uri="{FF2B5EF4-FFF2-40B4-BE49-F238E27FC236}">
                  <a16:creationId xmlns:a16="http://schemas.microsoft.com/office/drawing/2014/main" id="{00000000-0008-0000-0000-00006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8</xdr:col>
          <xdr:colOff>292100</xdr:colOff>
          <xdr:row>41</xdr:row>
          <xdr:rowOff>139700</xdr:rowOff>
        </xdr:to>
        <xdr:sp macro="" textlink="">
          <xdr:nvSpPr>
            <xdr:cNvPr id="2923" name="Check Box 875" hidden="1">
              <a:extLst>
                <a:ext uri="{63B3BB69-23CF-44E3-9099-C40C66FF867C}">
                  <a14:compatExt spid="_x0000_s2923"/>
                </a:ext>
                <a:ext uri="{FF2B5EF4-FFF2-40B4-BE49-F238E27FC236}">
                  <a16:creationId xmlns:a16="http://schemas.microsoft.com/office/drawing/2014/main" id="{00000000-0008-0000-0000-00006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8</xdr:col>
          <xdr:colOff>292100</xdr:colOff>
          <xdr:row>42</xdr:row>
          <xdr:rowOff>139700</xdr:rowOff>
        </xdr:to>
        <xdr:sp macro="" textlink="">
          <xdr:nvSpPr>
            <xdr:cNvPr id="2924" name="Check Box 876" hidden="1">
              <a:extLst>
                <a:ext uri="{63B3BB69-23CF-44E3-9099-C40C66FF867C}">
                  <a14:compatExt spid="_x0000_s2924"/>
                </a:ext>
                <a:ext uri="{FF2B5EF4-FFF2-40B4-BE49-F238E27FC236}">
                  <a16:creationId xmlns:a16="http://schemas.microsoft.com/office/drawing/2014/main" id="{00000000-0008-0000-0000-00006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8</xdr:col>
          <xdr:colOff>292100</xdr:colOff>
          <xdr:row>43</xdr:row>
          <xdr:rowOff>139700</xdr:rowOff>
        </xdr:to>
        <xdr:sp macro="" textlink="">
          <xdr:nvSpPr>
            <xdr:cNvPr id="2925" name="Check Box 877" hidden="1">
              <a:extLst>
                <a:ext uri="{63B3BB69-23CF-44E3-9099-C40C66FF867C}">
                  <a14:compatExt spid="_x0000_s2925"/>
                </a:ext>
                <a:ext uri="{FF2B5EF4-FFF2-40B4-BE49-F238E27FC236}">
                  <a16:creationId xmlns:a16="http://schemas.microsoft.com/office/drawing/2014/main" id="{00000000-0008-0000-0000-00006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8</xdr:col>
          <xdr:colOff>292100</xdr:colOff>
          <xdr:row>44</xdr:row>
          <xdr:rowOff>139700</xdr:rowOff>
        </xdr:to>
        <xdr:sp macro="" textlink="">
          <xdr:nvSpPr>
            <xdr:cNvPr id="2926" name="Check Box 878" hidden="1">
              <a:extLst>
                <a:ext uri="{63B3BB69-23CF-44E3-9099-C40C66FF867C}">
                  <a14:compatExt spid="_x0000_s2926"/>
                </a:ext>
                <a:ext uri="{FF2B5EF4-FFF2-40B4-BE49-F238E27FC236}">
                  <a16:creationId xmlns:a16="http://schemas.microsoft.com/office/drawing/2014/main" id="{00000000-0008-0000-0000-00006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8</xdr:col>
          <xdr:colOff>292100</xdr:colOff>
          <xdr:row>45</xdr:row>
          <xdr:rowOff>139700</xdr:rowOff>
        </xdr:to>
        <xdr:sp macro="" textlink="">
          <xdr:nvSpPr>
            <xdr:cNvPr id="2927" name="Check Box 879" hidden="1">
              <a:extLst>
                <a:ext uri="{63B3BB69-23CF-44E3-9099-C40C66FF867C}">
                  <a14:compatExt spid="_x0000_s2927"/>
                </a:ext>
                <a:ext uri="{FF2B5EF4-FFF2-40B4-BE49-F238E27FC236}">
                  <a16:creationId xmlns:a16="http://schemas.microsoft.com/office/drawing/2014/main" id="{00000000-0008-0000-0000-00006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8</xdr:col>
          <xdr:colOff>292100</xdr:colOff>
          <xdr:row>46</xdr:row>
          <xdr:rowOff>139700</xdr:rowOff>
        </xdr:to>
        <xdr:sp macro="" textlink="">
          <xdr:nvSpPr>
            <xdr:cNvPr id="2928" name="Check Box 880" hidden="1">
              <a:extLst>
                <a:ext uri="{63B3BB69-23CF-44E3-9099-C40C66FF867C}">
                  <a14:compatExt spid="_x0000_s2928"/>
                </a:ext>
                <a:ext uri="{FF2B5EF4-FFF2-40B4-BE49-F238E27FC236}">
                  <a16:creationId xmlns:a16="http://schemas.microsoft.com/office/drawing/2014/main" id="{00000000-0008-0000-0000-00007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8</xdr:col>
          <xdr:colOff>292100</xdr:colOff>
          <xdr:row>47</xdr:row>
          <xdr:rowOff>139700</xdr:rowOff>
        </xdr:to>
        <xdr:sp macro="" textlink="">
          <xdr:nvSpPr>
            <xdr:cNvPr id="2929" name="Check Box 881" hidden="1">
              <a:extLst>
                <a:ext uri="{63B3BB69-23CF-44E3-9099-C40C66FF867C}">
                  <a14:compatExt spid="_x0000_s2929"/>
                </a:ext>
                <a:ext uri="{FF2B5EF4-FFF2-40B4-BE49-F238E27FC236}">
                  <a16:creationId xmlns:a16="http://schemas.microsoft.com/office/drawing/2014/main" id="{00000000-0008-0000-0000-00007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8</xdr:col>
          <xdr:colOff>292100</xdr:colOff>
          <xdr:row>48</xdr:row>
          <xdr:rowOff>139700</xdr:rowOff>
        </xdr:to>
        <xdr:sp macro="" textlink="">
          <xdr:nvSpPr>
            <xdr:cNvPr id="2930" name="Check Box 882" hidden="1">
              <a:extLst>
                <a:ext uri="{63B3BB69-23CF-44E3-9099-C40C66FF867C}">
                  <a14:compatExt spid="_x0000_s2930"/>
                </a:ext>
                <a:ext uri="{FF2B5EF4-FFF2-40B4-BE49-F238E27FC236}">
                  <a16:creationId xmlns:a16="http://schemas.microsoft.com/office/drawing/2014/main" id="{00000000-0008-0000-0000-00007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8</xdr:col>
          <xdr:colOff>292100</xdr:colOff>
          <xdr:row>49</xdr:row>
          <xdr:rowOff>139700</xdr:rowOff>
        </xdr:to>
        <xdr:sp macro="" textlink="">
          <xdr:nvSpPr>
            <xdr:cNvPr id="2931" name="Check Box 883" hidden="1">
              <a:extLst>
                <a:ext uri="{63B3BB69-23CF-44E3-9099-C40C66FF867C}">
                  <a14:compatExt spid="_x0000_s2931"/>
                </a:ext>
                <a:ext uri="{FF2B5EF4-FFF2-40B4-BE49-F238E27FC236}">
                  <a16:creationId xmlns:a16="http://schemas.microsoft.com/office/drawing/2014/main" id="{00000000-0008-0000-0000-00007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49</xdr:row>
          <xdr:rowOff>0</xdr:rowOff>
        </xdr:from>
        <xdr:to>
          <xdr:col>8</xdr:col>
          <xdr:colOff>292100</xdr:colOff>
          <xdr:row>50</xdr:row>
          <xdr:rowOff>139700</xdr:rowOff>
        </xdr:to>
        <xdr:sp macro="" textlink="">
          <xdr:nvSpPr>
            <xdr:cNvPr id="2932" name="Check Box 884" hidden="1">
              <a:extLst>
                <a:ext uri="{63B3BB69-23CF-44E3-9099-C40C66FF867C}">
                  <a14:compatExt spid="_x0000_s2932"/>
                </a:ext>
                <a:ext uri="{FF2B5EF4-FFF2-40B4-BE49-F238E27FC236}">
                  <a16:creationId xmlns:a16="http://schemas.microsoft.com/office/drawing/2014/main" id="{00000000-0008-0000-0000-00007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50</xdr:row>
          <xdr:rowOff>0</xdr:rowOff>
        </xdr:from>
        <xdr:to>
          <xdr:col>8</xdr:col>
          <xdr:colOff>292100</xdr:colOff>
          <xdr:row>51</xdr:row>
          <xdr:rowOff>139700</xdr:rowOff>
        </xdr:to>
        <xdr:sp macro="" textlink="">
          <xdr:nvSpPr>
            <xdr:cNvPr id="2933" name="Check Box 885" hidden="1">
              <a:extLst>
                <a:ext uri="{63B3BB69-23CF-44E3-9099-C40C66FF867C}">
                  <a14:compatExt spid="_x0000_s2933"/>
                </a:ext>
                <a:ext uri="{FF2B5EF4-FFF2-40B4-BE49-F238E27FC236}">
                  <a16:creationId xmlns:a16="http://schemas.microsoft.com/office/drawing/2014/main" id="{00000000-0008-0000-0000-00007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51</xdr:row>
          <xdr:rowOff>0</xdr:rowOff>
        </xdr:from>
        <xdr:to>
          <xdr:col>8</xdr:col>
          <xdr:colOff>292100</xdr:colOff>
          <xdr:row>52</xdr:row>
          <xdr:rowOff>139700</xdr:rowOff>
        </xdr:to>
        <xdr:sp macro="" textlink="">
          <xdr:nvSpPr>
            <xdr:cNvPr id="2934" name="Check Box 886" hidden="1">
              <a:extLst>
                <a:ext uri="{63B3BB69-23CF-44E3-9099-C40C66FF867C}">
                  <a14:compatExt spid="_x0000_s2934"/>
                </a:ext>
                <a:ext uri="{FF2B5EF4-FFF2-40B4-BE49-F238E27FC236}">
                  <a16:creationId xmlns:a16="http://schemas.microsoft.com/office/drawing/2014/main" id="{00000000-0008-0000-0000-00007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52</xdr:row>
          <xdr:rowOff>0</xdr:rowOff>
        </xdr:from>
        <xdr:to>
          <xdr:col>8</xdr:col>
          <xdr:colOff>292100</xdr:colOff>
          <xdr:row>53</xdr:row>
          <xdr:rowOff>139700</xdr:rowOff>
        </xdr:to>
        <xdr:sp macro="" textlink="">
          <xdr:nvSpPr>
            <xdr:cNvPr id="2935" name="Check Box 887" hidden="1">
              <a:extLst>
                <a:ext uri="{63B3BB69-23CF-44E3-9099-C40C66FF867C}">
                  <a14:compatExt spid="_x0000_s2935"/>
                </a:ext>
                <a:ext uri="{FF2B5EF4-FFF2-40B4-BE49-F238E27FC236}">
                  <a16:creationId xmlns:a16="http://schemas.microsoft.com/office/drawing/2014/main" id="{00000000-0008-0000-0000-00007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53</xdr:row>
          <xdr:rowOff>0</xdr:rowOff>
        </xdr:from>
        <xdr:to>
          <xdr:col>8</xdr:col>
          <xdr:colOff>292100</xdr:colOff>
          <xdr:row>54</xdr:row>
          <xdr:rowOff>139700</xdr:rowOff>
        </xdr:to>
        <xdr:sp macro="" textlink="">
          <xdr:nvSpPr>
            <xdr:cNvPr id="2936" name="Check Box 888" hidden="1">
              <a:extLst>
                <a:ext uri="{63B3BB69-23CF-44E3-9099-C40C66FF867C}">
                  <a14:compatExt spid="_x0000_s2936"/>
                </a:ext>
                <a:ext uri="{FF2B5EF4-FFF2-40B4-BE49-F238E27FC236}">
                  <a16:creationId xmlns:a16="http://schemas.microsoft.com/office/drawing/2014/main" id="{00000000-0008-0000-0000-00007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54</xdr:row>
          <xdr:rowOff>0</xdr:rowOff>
        </xdr:from>
        <xdr:to>
          <xdr:col>8</xdr:col>
          <xdr:colOff>292100</xdr:colOff>
          <xdr:row>55</xdr:row>
          <xdr:rowOff>139700</xdr:rowOff>
        </xdr:to>
        <xdr:sp macro="" textlink="">
          <xdr:nvSpPr>
            <xdr:cNvPr id="2937" name="Check Box 889" hidden="1">
              <a:extLst>
                <a:ext uri="{63B3BB69-23CF-44E3-9099-C40C66FF867C}">
                  <a14:compatExt spid="_x0000_s2937"/>
                </a:ext>
                <a:ext uri="{FF2B5EF4-FFF2-40B4-BE49-F238E27FC236}">
                  <a16:creationId xmlns:a16="http://schemas.microsoft.com/office/drawing/2014/main" id="{00000000-0008-0000-0000-00007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55</xdr:row>
          <xdr:rowOff>0</xdr:rowOff>
        </xdr:from>
        <xdr:to>
          <xdr:col>8</xdr:col>
          <xdr:colOff>292100</xdr:colOff>
          <xdr:row>56</xdr:row>
          <xdr:rowOff>139700</xdr:rowOff>
        </xdr:to>
        <xdr:sp macro="" textlink="">
          <xdr:nvSpPr>
            <xdr:cNvPr id="2938" name="Check Box 890" hidden="1">
              <a:extLst>
                <a:ext uri="{63B3BB69-23CF-44E3-9099-C40C66FF867C}">
                  <a14:compatExt spid="_x0000_s2938"/>
                </a:ext>
                <a:ext uri="{FF2B5EF4-FFF2-40B4-BE49-F238E27FC236}">
                  <a16:creationId xmlns:a16="http://schemas.microsoft.com/office/drawing/2014/main" id="{00000000-0008-0000-0000-00007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56</xdr:row>
          <xdr:rowOff>0</xdr:rowOff>
        </xdr:from>
        <xdr:to>
          <xdr:col>8</xdr:col>
          <xdr:colOff>292100</xdr:colOff>
          <xdr:row>57</xdr:row>
          <xdr:rowOff>139700</xdr:rowOff>
        </xdr:to>
        <xdr:sp macro="" textlink="">
          <xdr:nvSpPr>
            <xdr:cNvPr id="2939" name="Check Box 891" hidden="1">
              <a:extLst>
                <a:ext uri="{63B3BB69-23CF-44E3-9099-C40C66FF867C}">
                  <a14:compatExt spid="_x0000_s2939"/>
                </a:ext>
                <a:ext uri="{FF2B5EF4-FFF2-40B4-BE49-F238E27FC236}">
                  <a16:creationId xmlns:a16="http://schemas.microsoft.com/office/drawing/2014/main" id="{00000000-0008-0000-0000-00007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57</xdr:row>
          <xdr:rowOff>0</xdr:rowOff>
        </xdr:from>
        <xdr:to>
          <xdr:col>8</xdr:col>
          <xdr:colOff>292100</xdr:colOff>
          <xdr:row>58</xdr:row>
          <xdr:rowOff>139700</xdr:rowOff>
        </xdr:to>
        <xdr:sp macro="" textlink="">
          <xdr:nvSpPr>
            <xdr:cNvPr id="2940" name="Check Box 892" hidden="1">
              <a:extLst>
                <a:ext uri="{63B3BB69-23CF-44E3-9099-C40C66FF867C}">
                  <a14:compatExt spid="_x0000_s2940"/>
                </a:ext>
                <a:ext uri="{FF2B5EF4-FFF2-40B4-BE49-F238E27FC236}">
                  <a16:creationId xmlns:a16="http://schemas.microsoft.com/office/drawing/2014/main" id="{00000000-0008-0000-0000-00007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58</xdr:row>
          <xdr:rowOff>0</xdr:rowOff>
        </xdr:from>
        <xdr:to>
          <xdr:col>8</xdr:col>
          <xdr:colOff>292100</xdr:colOff>
          <xdr:row>59</xdr:row>
          <xdr:rowOff>139700</xdr:rowOff>
        </xdr:to>
        <xdr:sp macro="" textlink="">
          <xdr:nvSpPr>
            <xdr:cNvPr id="2941" name="Check Box 893" hidden="1">
              <a:extLst>
                <a:ext uri="{63B3BB69-23CF-44E3-9099-C40C66FF867C}">
                  <a14:compatExt spid="_x0000_s2941"/>
                </a:ext>
                <a:ext uri="{FF2B5EF4-FFF2-40B4-BE49-F238E27FC236}">
                  <a16:creationId xmlns:a16="http://schemas.microsoft.com/office/drawing/2014/main" id="{00000000-0008-0000-0000-00007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59</xdr:row>
          <xdr:rowOff>0</xdr:rowOff>
        </xdr:from>
        <xdr:to>
          <xdr:col>8</xdr:col>
          <xdr:colOff>292100</xdr:colOff>
          <xdr:row>60</xdr:row>
          <xdr:rowOff>139700</xdr:rowOff>
        </xdr:to>
        <xdr:sp macro="" textlink="">
          <xdr:nvSpPr>
            <xdr:cNvPr id="2942" name="Check Box 894" hidden="1">
              <a:extLst>
                <a:ext uri="{63B3BB69-23CF-44E3-9099-C40C66FF867C}">
                  <a14:compatExt spid="_x0000_s2942"/>
                </a:ext>
                <a:ext uri="{FF2B5EF4-FFF2-40B4-BE49-F238E27FC236}">
                  <a16:creationId xmlns:a16="http://schemas.microsoft.com/office/drawing/2014/main" id="{00000000-0008-0000-0000-00007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9525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43</xdr:col>
      <xdr:colOff>341923</xdr:colOff>
      <xdr:row>7</xdr:row>
      <xdr:rowOff>195383</xdr:rowOff>
    </xdr:from>
    <xdr:to>
      <xdr:col>48</xdr:col>
      <xdr:colOff>664308</xdr:colOff>
      <xdr:row>15</xdr:row>
      <xdr:rowOff>175844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698500</xdr:colOff>
          <xdr:row>1</xdr:row>
          <xdr:rowOff>177800</xdr:rowOff>
        </xdr:from>
        <xdr:to>
          <xdr:col>41</xdr:col>
          <xdr:colOff>571500</xdr:colOff>
          <xdr:row>3</xdr:row>
          <xdr:rowOff>152400</xdr:rowOff>
        </xdr:to>
        <xdr:sp macro="" textlink="">
          <xdr:nvSpPr>
            <xdr:cNvPr id="2943" name="Button 895" hidden="1">
              <a:extLst>
                <a:ext uri="{63B3BB69-23CF-44E3-9099-C40C66FF867C}">
                  <a14:compatExt spid="_x0000_s2943"/>
                </a:ext>
                <a:ext uri="{FF2B5EF4-FFF2-40B4-BE49-F238E27FC236}">
                  <a16:creationId xmlns:a16="http://schemas.microsoft.com/office/drawing/2014/main" id="{A178693E-FC79-D972-47E6-87982222E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895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4</xdr:row>
          <xdr:rowOff>114300</xdr:rowOff>
        </xdr:from>
        <xdr:to>
          <xdr:col>5</xdr:col>
          <xdr:colOff>889000</xdr:colOff>
          <xdr:row>8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calendar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Dropbox/Dropbox/my%20files/Cours/VBA%20Python/DiscountFactorBuild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athan/Downloads/Scrapbook(7)-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ktData"/>
      <sheetName val="CurveBuilder"/>
      <sheetName val="Target"/>
      <sheetName val="Calc"/>
    </sheetNames>
    <sheetDataSet>
      <sheetData sheetId="0" refreshError="1"/>
      <sheetData sheetId="1" refreshError="1">
        <row r="3">
          <cell r="C3">
            <v>44988</v>
          </cell>
        </row>
        <row r="8">
          <cell r="AM8">
            <v>44986</v>
          </cell>
          <cell r="AN8">
            <v>1.0001111234581619</v>
          </cell>
        </row>
        <row r="9">
          <cell r="AM9">
            <v>44987</v>
          </cell>
          <cell r="AN9">
            <v>1.0000555586421469</v>
          </cell>
        </row>
        <row r="10">
          <cell r="AM10">
            <v>44988</v>
          </cell>
          <cell r="AN10">
            <v>1</v>
          </cell>
        </row>
        <row r="11">
          <cell r="AM11">
            <v>44995</v>
          </cell>
          <cell r="AN11">
            <v>0.99961126228688835</v>
          </cell>
        </row>
        <row r="12">
          <cell r="AM12">
            <v>45019</v>
          </cell>
          <cell r="AN12">
            <v>0.99815203241775985</v>
          </cell>
        </row>
        <row r="13">
          <cell r="AM13">
            <v>45082</v>
          </cell>
          <cell r="AN13">
            <v>0.9936434420912883</v>
          </cell>
        </row>
        <row r="14">
          <cell r="AM14">
            <v>45098</v>
          </cell>
          <cell r="AN14">
            <v>0.99131420589625241</v>
          </cell>
        </row>
        <row r="15">
          <cell r="AM15">
            <v>45173</v>
          </cell>
          <cell r="AN15">
            <v>0.98531605380920451</v>
          </cell>
        </row>
        <row r="16">
          <cell r="AM16">
            <v>45189</v>
          </cell>
          <cell r="AN16">
            <v>0.98276848791136984</v>
          </cell>
        </row>
        <row r="17">
          <cell r="AM17">
            <v>45280</v>
          </cell>
          <cell r="AN17">
            <v>0.9742231973825507</v>
          </cell>
        </row>
        <row r="18">
          <cell r="AM18">
            <v>45355</v>
          </cell>
          <cell r="AN18">
            <v>0.96843696092230414</v>
          </cell>
        </row>
        <row r="19">
          <cell r="AM19">
            <v>45371</v>
          </cell>
          <cell r="AN19">
            <v>0.96604269417920252</v>
          </cell>
        </row>
        <row r="20">
          <cell r="AM20">
            <v>45719</v>
          </cell>
          <cell r="AN20">
            <v>0.93933042601804695</v>
          </cell>
        </row>
        <row r="21">
          <cell r="AM21">
            <v>46084</v>
          </cell>
          <cell r="AN21">
            <v>0.91585368274897971</v>
          </cell>
        </row>
        <row r="22">
          <cell r="AM22">
            <v>46449</v>
          </cell>
          <cell r="AN22">
            <v>0.89368279705851639</v>
          </cell>
        </row>
        <row r="23">
          <cell r="AM23">
            <v>46815</v>
          </cell>
          <cell r="AN23">
            <v>0.87151092207145586</v>
          </cell>
        </row>
        <row r="24">
          <cell r="AM24">
            <v>47182</v>
          </cell>
          <cell r="AN24">
            <v>0.84976273197289032</v>
          </cell>
        </row>
        <row r="25">
          <cell r="AM25">
            <v>47546</v>
          </cell>
          <cell r="AN25">
            <v>0.82822118421523805</v>
          </cell>
        </row>
        <row r="26">
          <cell r="AM26">
            <v>47910</v>
          </cell>
          <cell r="AN26">
            <v>0.8068814394130337</v>
          </cell>
        </row>
        <row r="27">
          <cell r="AM27">
            <v>48276</v>
          </cell>
          <cell r="AN27">
            <v>0.78467397840978148</v>
          </cell>
        </row>
        <row r="28">
          <cell r="AM28">
            <v>48641</v>
          </cell>
          <cell r="AN28">
            <v>0.76374730232604782</v>
          </cell>
        </row>
        <row r="29">
          <cell r="AM29">
            <v>49006</v>
          </cell>
          <cell r="AN29">
            <v>0.74246721771596136</v>
          </cell>
        </row>
        <row r="30">
          <cell r="AM30">
            <v>49373</v>
          </cell>
          <cell r="AN30">
            <v>0.72248840636765566</v>
          </cell>
        </row>
        <row r="31">
          <cell r="AM31">
            <v>50467</v>
          </cell>
          <cell r="AN31">
            <v>0.66960549497339272</v>
          </cell>
        </row>
        <row r="32">
          <cell r="AM32">
            <v>52293</v>
          </cell>
          <cell r="AN32">
            <v>0.60978391008149813</v>
          </cell>
        </row>
        <row r="33">
          <cell r="AM33">
            <v>54120</v>
          </cell>
          <cell r="AN33">
            <v>0.56984607961804346</v>
          </cell>
        </row>
        <row r="34">
          <cell r="AM34">
            <v>55946</v>
          </cell>
          <cell r="AN34">
            <v>0.54045423134236692</v>
          </cell>
        </row>
      </sheetData>
      <sheetData sheetId="2" refreshError="1">
        <row r="13">
          <cell r="D13">
            <v>44927</v>
          </cell>
        </row>
        <row r="14">
          <cell r="D14">
            <v>45023</v>
          </cell>
        </row>
        <row r="15">
          <cell r="D15">
            <v>45026</v>
          </cell>
        </row>
        <row r="16">
          <cell r="D16">
            <v>45047</v>
          </cell>
        </row>
        <row r="17">
          <cell r="D17">
            <v>45285</v>
          </cell>
        </row>
        <row r="18">
          <cell r="D18">
            <v>45286</v>
          </cell>
        </row>
        <row r="19">
          <cell r="D19">
            <v>45292</v>
          </cell>
        </row>
        <row r="20">
          <cell r="D20">
            <v>45380</v>
          </cell>
        </row>
        <row r="21">
          <cell r="D21">
            <v>45383</v>
          </cell>
        </row>
        <row r="22">
          <cell r="D22">
            <v>45413</v>
          </cell>
        </row>
        <row r="23">
          <cell r="D23">
            <v>45651</v>
          </cell>
        </row>
        <row r="24">
          <cell r="D24">
            <v>45652</v>
          </cell>
        </row>
        <row r="25">
          <cell r="D25">
            <v>45658</v>
          </cell>
        </row>
        <row r="26">
          <cell r="D26">
            <v>45765</v>
          </cell>
        </row>
        <row r="27">
          <cell r="D27">
            <v>45768</v>
          </cell>
        </row>
        <row r="28">
          <cell r="D28">
            <v>45778</v>
          </cell>
        </row>
        <row r="29">
          <cell r="D29">
            <v>46016</v>
          </cell>
        </row>
        <row r="30">
          <cell r="D30">
            <v>46017</v>
          </cell>
        </row>
        <row r="31">
          <cell r="D31">
            <v>46023</v>
          </cell>
        </row>
        <row r="32">
          <cell r="D32">
            <v>46115</v>
          </cell>
        </row>
        <row r="33">
          <cell r="D33">
            <v>46118</v>
          </cell>
        </row>
        <row r="34">
          <cell r="D34">
            <v>46143</v>
          </cell>
        </row>
        <row r="35">
          <cell r="D35">
            <v>46381</v>
          </cell>
        </row>
        <row r="36">
          <cell r="D36">
            <v>46382</v>
          </cell>
        </row>
        <row r="37">
          <cell r="D37">
            <v>46388</v>
          </cell>
        </row>
        <row r="38">
          <cell r="D38">
            <v>46472</v>
          </cell>
        </row>
        <row r="39">
          <cell r="D39">
            <v>46475</v>
          </cell>
        </row>
        <row r="40">
          <cell r="D40">
            <v>46508</v>
          </cell>
        </row>
        <row r="41">
          <cell r="D41">
            <v>46746</v>
          </cell>
        </row>
        <row r="42">
          <cell r="D42">
            <v>46747</v>
          </cell>
        </row>
        <row r="43">
          <cell r="D43">
            <v>46753</v>
          </cell>
        </row>
        <row r="44">
          <cell r="D44">
            <v>46857</v>
          </cell>
        </row>
        <row r="45">
          <cell r="D45">
            <v>46860</v>
          </cell>
        </row>
        <row r="46">
          <cell r="D46">
            <v>46874</v>
          </cell>
        </row>
        <row r="47">
          <cell r="D47">
            <v>47112</v>
          </cell>
        </row>
        <row r="48">
          <cell r="D48">
            <v>47113</v>
          </cell>
        </row>
        <row r="49">
          <cell r="D49">
            <v>47119</v>
          </cell>
        </row>
        <row r="50">
          <cell r="D50">
            <v>47207</v>
          </cell>
        </row>
        <row r="51">
          <cell r="D51">
            <v>47210</v>
          </cell>
        </row>
        <row r="52">
          <cell r="D52">
            <v>47239</v>
          </cell>
        </row>
        <row r="53">
          <cell r="D53">
            <v>47477</v>
          </cell>
        </row>
        <row r="54">
          <cell r="D54">
            <v>47478</v>
          </cell>
        </row>
        <row r="55">
          <cell r="D55">
            <v>47484</v>
          </cell>
        </row>
        <row r="56">
          <cell r="D56">
            <v>47592</v>
          </cell>
        </row>
        <row r="57">
          <cell r="D57">
            <v>47595</v>
          </cell>
        </row>
        <row r="58">
          <cell r="D58">
            <v>47604</v>
          </cell>
        </row>
        <row r="59">
          <cell r="D59">
            <v>47842</v>
          </cell>
        </row>
        <row r="60">
          <cell r="D60">
            <v>47843</v>
          </cell>
        </row>
        <row r="61">
          <cell r="D61">
            <v>47849</v>
          </cell>
        </row>
        <row r="62">
          <cell r="D62">
            <v>47949</v>
          </cell>
        </row>
        <row r="63">
          <cell r="D63">
            <v>47952</v>
          </cell>
        </row>
        <row r="64">
          <cell r="D64">
            <v>47969</v>
          </cell>
        </row>
        <row r="65">
          <cell r="D65">
            <v>48207</v>
          </cell>
        </row>
        <row r="66">
          <cell r="D66">
            <v>48208</v>
          </cell>
        </row>
        <row r="67">
          <cell r="D67">
            <v>48214</v>
          </cell>
        </row>
        <row r="68">
          <cell r="D68">
            <v>48299</v>
          </cell>
        </row>
        <row r="69">
          <cell r="D69">
            <v>48302</v>
          </cell>
        </row>
        <row r="70">
          <cell r="D70">
            <v>48335</v>
          </cell>
        </row>
        <row r="71">
          <cell r="D71">
            <v>48573</v>
          </cell>
        </row>
        <row r="72">
          <cell r="D72">
            <v>48574</v>
          </cell>
        </row>
        <row r="73">
          <cell r="D73">
            <v>48580</v>
          </cell>
        </row>
        <row r="74">
          <cell r="D74">
            <v>48684</v>
          </cell>
        </row>
        <row r="75">
          <cell r="D75">
            <v>48687</v>
          </cell>
        </row>
        <row r="76">
          <cell r="D76">
            <v>48700</v>
          </cell>
        </row>
        <row r="77">
          <cell r="D77">
            <v>48938</v>
          </cell>
        </row>
        <row r="78">
          <cell r="D78">
            <v>48939</v>
          </cell>
        </row>
        <row r="79">
          <cell r="D79">
            <v>48945</v>
          </cell>
        </row>
        <row r="80">
          <cell r="D80">
            <v>49041</v>
          </cell>
        </row>
        <row r="81">
          <cell r="D81">
            <v>49044</v>
          </cell>
        </row>
        <row r="82">
          <cell r="D82">
            <v>49065</v>
          </cell>
        </row>
        <row r="83">
          <cell r="D83">
            <v>49303</v>
          </cell>
        </row>
        <row r="84">
          <cell r="D84">
            <v>49304</v>
          </cell>
        </row>
        <row r="85">
          <cell r="D85">
            <v>49310</v>
          </cell>
        </row>
        <row r="86">
          <cell r="D86">
            <v>49391</v>
          </cell>
        </row>
        <row r="87">
          <cell r="D87">
            <v>49394</v>
          </cell>
        </row>
        <row r="88">
          <cell r="D88">
            <v>49430</v>
          </cell>
        </row>
        <row r="89">
          <cell r="D89">
            <v>49668</v>
          </cell>
        </row>
        <row r="90">
          <cell r="D90">
            <v>49669</v>
          </cell>
        </row>
        <row r="91">
          <cell r="D91">
            <v>49675</v>
          </cell>
        </row>
        <row r="92">
          <cell r="D92">
            <v>49776</v>
          </cell>
        </row>
        <row r="93">
          <cell r="D93">
            <v>49779</v>
          </cell>
        </row>
        <row r="94">
          <cell r="D94">
            <v>49796</v>
          </cell>
        </row>
        <row r="95">
          <cell r="D95">
            <v>50034</v>
          </cell>
        </row>
        <row r="96">
          <cell r="D96">
            <v>50035</v>
          </cell>
        </row>
        <row r="97">
          <cell r="D97">
            <v>50041</v>
          </cell>
        </row>
        <row r="98">
          <cell r="D98">
            <v>50133</v>
          </cell>
        </row>
        <row r="99">
          <cell r="D99">
            <v>50136</v>
          </cell>
        </row>
        <row r="100">
          <cell r="D100">
            <v>50161</v>
          </cell>
        </row>
        <row r="101">
          <cell r="D101">
            <v>50399</v>
          </cell>
        </row>
        <row r="102">
          <cell r="D102">
            <v>50400</v>
          </cell>
        </row>
        <row r="103">
          <cell r="D103">
            <v>50406</v>
          </cell>
        </row>
        <row r="104">
          <cell r="D104">
            <v>50518</v>
          </cell>
        </row>
        <row r="105">
          <cell r="D105">
            <v>50521</v>
          </cell>
        </row>
        <row r="106">
          <cell r="D106">
            <v>50526</v>
          </cell>
        </row>
        <row r="107">
          <cell r="D107">
            <v>50764</v>
          </cell>
        </row>
        <row r="108">
          <cell r="D108">
            <v>50765</v>
          </cell>
        </row>
        <row r="109">
          <cell r="D109">
            <v>50771</v>
          </cell>
        </row>
        <row r="110">
          <cell r="D110">
            <v>50868</v>
          </cell>
        </row>
        <row r="111">
          <cell r="D111">
            <v>50871</v>
          </cell>
        </row>
        <row r="112">
          <cell r="D112">
            <v>50891</v>
          </cell>
        </row>
        <row r="113">
          <cell r="D113">
            <v>51129</v>
          </cell>
        </row>
        <row r="114">
          <cell r="D114">
            <v>51130</v>
          </cell>
        </row>
        <row r="115">
          <cell r="D115">
            <v>51136</v>
          </cell>
        </row>
        <row r="116">
          <cell r="D116">
            <v>51225</v>
          </cell>
        </row>
        <row r="117">
          <cell r="D117">
            <v>51228</v>
          </cell>
        </row>
        <row r="118">
          <cell r="D118">
            <v>51257</v>
          </cell>
        </row>
        <row r="119">
          <cell r="D119">
            <v>51495</v>
          </cell>
        </row>
        <row r="120">
          <cell r="D120">
            <v>51496</v>
          </cell>
        </row>
        <row r="121">
          <cell r="D121">
            <v>51502</v>
          </cell>
        </row>
        <row r="122">
          <cell r="D122">
            <v>51610</v>
          </cell>
        </row>
        <row r="123">
          <cell r="D123">
            <v>51613</v>
          </cell>
        </row>
        <row r="124">
          <cell r="D124">
            <v>51622</v>
          </cell>
        </row>
        <row r="125">
          <cell r="D125">
            <v>51860</v>
          </cell>
        </row>
        <row r="126">
          <cell r="D126">
            <v>51861</v>
          </cell>
        </row>
        <row r="127">
          <cell r="D127">
            <v>51867</v>
          </cell>
        </row>
        <row r="128">
          <cell r="D128">
            <v>51960</v>
          </cell>
        </row>
        <row r="129">
          <cell r="D129">
            <v>51963</v>
          </cell>
        </row>
        <row r="130">
          <cell r="D130">
            <v>51987</v>
          </cell>
        </row>
        <row r="131">
          <cell r="D131">
            <v>52225</v>
          </cell>
        </row>
        <row r="132">
          <cell r="D132">
            <v>52226</v>
          </cell>
        </row>
        <row r="133">
          <cell r="D133">
            <v>52232</v>
          </cell>
        </row>
        <row r="134">
          <cell r="D134">
            <v>52317</v>
          </cell>
        </row>
        <row r="135">
          <cell r="D135">
            <v>52320</v>
          </cell>
        </row>
        <row r="136">
          <cell r="D136">
            <v>52352</v>
          </cell>
        </row>
        <row r="137">
          <cell r="D137">
            <v>52590</v>
          </cell>
        </row>
        <row r="138">
          <cell r="D138">
            <v>52591</v>
          </cell>
        </row>
        <row r="139">
          <cell r="D139">
            <v>52597</v>
          </cell>
        </row>
        <row r="140">
          <cell r="D140">
            <v>52702</v>
          </cell>
        </row>
        <row r="141">
          <cell r="D141">
            <v>52705</v>
          </cell>
        </row>
        <row r="142">
          <cell r="D142">
            <v>52718</v>
          </cell>
        </row>
        <row r="143">
          <cell r="D143">
            <v>52956</v>
          </cell>
        </row>
        <row r="144">
          <cell r="D144">
            <v>52957</v>
          </cell>
        </row>
        <row r="145">
          <cell r="D145">
            <v>52963</v>
          </cell>
        </row>
        <row r="146">
          <cell r="D146">
            <v>53059</v>
          </cell>
        </row>
        <row r="147">
          <cell r="D147">
            <v>53062</v>
          </cell>
        </row>
        <row r="148">
          <cell r="D148">
            <v>53083</v>
          </cell>
        </row>
        <row r="149">
          <cell r="D149">
            <v>53321</v>
          </cell>
        </row>
        <row r="150">
          <cell r="D150">
            <v>53322</v>
          </cell>
        </row>
        <row r="151">
          <cell r="D151">
            <v>53328</v>
          </cell>
        </row>
        <row r="152">
          <cell r="D152">
            <v>53409</v>
          </cell>
        </row>
        <row r="153">
          <cell r="D153">
            <v>53412</v>
          </cell>
        </row>
        <row r="154">
          <cell r="D154">
            <v>53448</v>
          </cell>
        </row>
        <row r="155">
          <cell r="D155">
            <v>53686</v>
          </cell>
        </row>
        <row r="156">
          <cell r="D156">
            <v>53687</v>
          </cell>
        </row>
        <row r="157">
          <cell r="D157">
            <v>53693</v>
          </cell>
        </row>
        <row r="158">
          <cell r="D158">
            <v>53794</v>
          </cell>
        </row>
        <row r="159">
          <cell r="D159">
            <v>53797</v>
          </cell>
        </row>
        <row r="160">
          <cell r="D160">
            <v>53813</v>
          </cell>
        </row>
        <row r="161">
          <cell r="D161">
            <v>54051</v>
          </cell>
        </row>
        <row r="162">
          <cell r="D162">
            <v>54052</v>
          </cell>
        </row>
        <row r="163">
          <cell r="D163">
            <v>54058</v>
          </cell>
        </row>
        <row r="164">
          <cell r="D164">
            <v>54151</v>
          </cell>
        </row>
        <row r="165">
          <cell r="D165">
            <v>54154</v>
          </cell>
        </row>
        <row r="166">
          <cell r="D166">
            <v>54179</v>
          </cell>
        </row>
        <row r="167">
          <cell r="D167">
            <v>54417</v>
          </cell>
        </row>
        <row r="168">
          <cell r="D168">
            <v>54418</v>
          </cell>
        </row>
        <row r="169">
          <cell r="D169">
            <v>54424</v>
          </cell>
        </row>
        <row r="170">
          <cell r="D170">
            <v>54529</v>
          </cell>
        </row>
        <row r="171">
          <cell r="D171">
            <v>54532</v>
          </cell>
        </row>
        <row r="172">
          <cell r="D172">
            <v>54544</v>
          </cell>
        </row>
        <row r="173">
          <cell r="D173">
            <v>54782</v>
          </cell>
        </row>
        <row r="174">
          <cell r="D174">
            <v>54783</v>
          </cell>
        </row>
        <row r="175">
          <cell r="D175">
            <v>54789</v>
          </cell>
        </row>
        <row r="176">
          <cell r="D176">
            <v>54886</v>
          </cell>
        </row>
        <row r="177">
          <cell r="D177">
            <v>54889</v>
          </cell>
        </row>
        <row r="178">
          <cell r="D178">
            <v>54909</v>
          </cell>
        </row>
        <row r="179">
          <cell r="D179">
            <v>55147</v>
          </cell>
        </row>
        <row r="180">
          <cell r="D180">
            <v>55148</v>
          </cell>
        </row>
        <row r="181">
          <cell r="D181">
            <v>55154</v>
          </cell>
        </row>
        <row r="182">
          <cell r="D182">
            <v>55243</v>
          </cell>
        </row>
        <row r="183">
          <cell r="D183">
            <v>55246</v>
          </cell>
        </row>
        <row r="184">
          <cell r="D184">
            <v>55274</v>
          </cell>
        </row>
        <row r="185">
          <cell r="D185">
            <v>55512</v>
          </cell>
        </row>
        <row r="186">
          <cell r="D186">
            <v>55513</v>
          </cell>
        </row>
        <row r="187">
          <cell r="D187">
            <v>55519</v>
          </cell>
        </row>
        <row r="188">
          <cell r="D188">
            <v>55628</v>
          </cell>
        </row>
        <row r="189">
          <cell r="D189">
            <v>55631</v>
          </cell>
        </row>
        <row r="190">
          <cell r="D190">
            <v>55640</v>
          </cell>
        </row>
        <row r="191">
          <cell r="D191">
            <v>55878</v>
          </cell>
        </row>
        <row r="192">
          <cell r="D192">
            <v>55879</v>
          </cell>
        </row>
        <row r="193">
          <cell r="D193">
            <v>55885</v>
          </cell>
        </row>
        <row r="194">
          <cell r="D194">
            <v>55978</v>
          </cell>
        </row>
        <row r="195">
          <cell r="D195">
            <v>55981</v>
          </cell>
        </row>
        <row r="196">
          <cell r="D196">
            <v>56005</v>
          </cell>
        </row>
        <row r="197">
          <cell r="D197">
            <v>56243</v>
          </cell>
        </row>
        <row r="198">
          <cell r="D198">
            <v>56244</v>
          </cell>
        </row>
        <row r="199">
          <cell r="D199">
            <v>56250</v>
          </cell>
        </row>
        <row r="200">
          <cell r="D200">
            <v>56335</v>
          </cell>
        </row>
        <row r="201">
          <cell r="D201">
            <v>56338</v>
          </cell>
        </row>
        <row r="202">
          <cell r="D202">
            <v>56370</v>
          </cell>
        </row>
        <row r="203">
          <cell r="D203">
            <v>56608</v>
          </cell>
        </row>
        <row r="204">
          <cell r="D204">
            <v>56609</v>
          </cell>
        </row>
        <row r="205">
          <cell r="D205">
            <v>56615</v>
          </cell>
        </row>
        <row r="206">
          <cell r="D206">
            <v>56720</v>
          </cell>
        </row>
        <row r="207">
          <cell r="D207">
            <v>56723</v>
          </cell>
        </row>
        <row r="208">
          <cell r="D208">
            <v>56735</v>
          </cell>
        </row>
        <row r="209">
          <cell r="D209">
            <v>56973</v>
          </cell>
        </row>
        <row r="210">
          <cell r="D210">
            <v>56974</v>
          </cell>
        </row>
        <row r="211">
          <cell r="D211">
            <v>56980</v>
          </cell>
        </row>
        <row r="212">
          <cell r="D212">
            <v>57070</v>
          </cell>
        </row>
        <row r="213">
          <cell r="D213">
            <v>57073</v>
          </cell>
        </row>
        <row r="214">
          <cell r="D214">
            <v>57101</v>
          </cell>
        </row>
        <row r="215">
          <cell r="D215">
            <v>57339</v>
          </cell>
        </row>
        <row r="216">
          <cell r="D216">
            <v>57340</v>
          </cell>
        </row>
        <row r="217">
          <cell r="D217">
            <v>57346</v>
          </cell>
        </row>
        <row r="218">
          <cell r="D218">
            <v>57455</v>
          </cell>
        </row>
        <row r="219">
          <cell r="D219">
            <v>57458</v>
          </cell>
        </row>
        <row r="220">
          <cell r="D220">
            <v>57466</v>
          </cell>
        </row>
        <row r="221">
          <cell r="D221">
            <v>57704</v>
          </cell>
        </row>
        <row r="222">
          <cell r="D222">
            <v>57705</v>
          </cell>
        </row>
        <row r="223">
          <cell r="D223">
            <v>57711</v>
          </cell>
        </row>
        <row r="224">
          <cell r="D224">
            <v>57812</v>
          </cell>
        </row>
        <row r="225">
          <cell r="D225">
            <v>57815</v>
          </cell>
        </row>
        <row r="226">
          <cell r="D226">
            <v>57831</v>
          </cell>
        </row>
        <row r="227">
          <cell r="D227">
            <v>58069</v>
          </cell>
        </row>
        <row r="228">
          <cell r="D228">
            <v>58070</v>
          </cell>
        </row>
        <row r="229">
          <cell r="D229">
            <v>58076</v>
          </cell>
        </row>
        <row r="230">
          <cell r="D230">
            <v>58162</v>
          </cell>
        </row>
        <row r="231">
          <cell r="D231">
            <v>58165</v>
          </cell>
        </row>
        <row r="232">
          <cell r="D232">
            <v>58196</v>
          </cell>
        </row>
        <row r="233">
          <cell r="D233">
            <v>58434</v>
          </cell>
        </row>
        <row r="234">
          <cell r="D234">
            <v>58435</v>
          </cell>
        </row>
        <row r="235">
          <cell r="D235">
            <v>58441</v>
          </cell>
        </row>
        <row r="236">
          <cell r="D236">
            <v>58547</v>
          </cell>
        </row>
        <row r="237">
          <cell r="D237">
            <v>58550</v>
          </cell>
        </row>
        <row r="238">
          <cell r="D238">
            <v>58562</v>
          </cell>
        </row>
        <row r="239">
          <cell r="D239">
            <v>58800</v>
          </cell>
        </row>
        <row r="240">
          <cell r="D240">
            <v>58801</v>
          </cell>
        </row>
        <row r="241">
          <cell r="D241">
            <v>58807</v>
          </cell>
        </row>
        <row r="242">
          <cell r="D242">
            <v>58904</v>
          </cell>
        </row>
        <row r="243">
          <cell r="D243">
            <v>58907</v>
          </cell>
        </row>
        <row r="244">
          <cell r="D244">
            <v>58927</v>
          </cell>
        </row>
        <row r="245">
          <cell r="D245">
            <v>59165</v>
          </cell>
        </row>
        <row r="246">
          <cell r="D246">
            <v>59166</v>
          </cell>
        </row>
        <row r="247">
          <cell r="D247">
            <v>59172</v>
          </cell>
        </row>
        <row r="248">
          <cell r="D248">
            <v>59254</v>
          </cell>
        </row>
        <row r="249">
          <cell r="D249">
            <v>59257</v>
          </cell>
        </row>
        <row r="250">
          <cell r="D250">
            <v>59292</v>
          </cell>
        </row>
        <row r="251">
          <cell r="D251">
            <v>59530</v>
          </cell>
        </row>
        <row r="252">
          <cell r="D252">
            <v>59531</v>
          </cell>
        </row>
        <row r="253">
          <cell r="D253">
            <v>59537</v>
          </cell>
        </row>
        <row r="254">
          <cell r="D254">
            <v>59639</v>
          </cell>
        </row>
        <row r="255">
          <cell r="D255">
            <v>59642</v>
          </cell>
        </row>
        <row r="256">
          <cell r="D256">
            <v>59657</v>
          </cell>
        </row>
        <row r="257">
          <cell r="D257">
            <v>59895</v>
          </cell>
        </row>
        <row r="258">
          <cell r="D258">
            <v>59896</v>
          </cell>
        </row>
      </sheetData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calendar"/>
      <sheetName val="Sheet4"/>
      <sheetName val="Assesment2"/>
      <sheetName val="Assesmt2_PV"/>
    </sheetNames>
    <sheetDataSet>
      <sheetData sheetId="0"/>
      <sheetData sheetId="1">
        <row r="1">
          <cell r="B1">
            <v>0.03</v>
          </cell>
        </row>
        <row r="2">
          <cell r="B2">
            <v>45759</v>
          </cell>
        </row>
        <row r="3">
          <cell r="B3">
            <v>46124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D4CE08F4-C712-8642-AC6E-200CE1349356}">
  <we:reference id="026e7b2b-fa4d-4fe0-bf3b-b965f6f25bee" version="1.0.0.57" store="EXCatalog" storeType="EXCatalog"/>
  <we:alternateReferences>
    <we:reference id="WA200000565" version="1.0.0.57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288A7237-5AFF-0A42-83F1-1374B5BDAAF9}">
  <we:reference id="a2a4692c-ecd3-4c3d-bc1e-2c407a976176" version="23.1.0.0" store="EXCatalog" storeType="EXCatalog"/>
  <we:alternateReferences>
    <we:reference id="WA200000019" version="23.1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PsiForecast</we:customFunctionIds>
        <we:customFunctionIds>PsiPredict</we:customFunctionIds>
        <we:customFunctionIds>PsiPosteriors</we:customFunctionIds>
        <we:customFunctionIds>PsiTransform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63" Type="http://schemas.openxmlformats.org/officeDocument/2006/relationships/ctrlProp" Target="../ctrlProps/ctrlProp6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5" Type="http://schemas.openxmlformats.org/officeDocument/2006/relationships/ctrlProp" Target="../ctrlProps/ctrlProp3.xml"/><Relationship Id="rId61" Type="http://schemas.openxmlformats.org/officeDocument/2006/relationships/ctrlProp" Target="../ctrlProps/ctrlProp59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CBCDB-9E37-C743-A19E-7414C68D6E45}">
  <sheetPr codeName="Sheet2"/>
  <dimension ref="A1:AQ63"/>
  <sheetViews>
    <sheetView tabSelected="1" topLeftCell="AE1" zoomScaleNormal="320" workbookViewId="0">
      <selection activeCell="AL14" sqref="AL14"/>
    </sheetView>
  </sheetViews>
  <sheetFormatPr baseColWidth="10" defaultRowHeight="16" x14ac:dyDescent="0.2"/>
  <cols>
    <col min="1" max="1" width="13.83203125" bestFit="1" customWidth="1"/>
    <col min="3" max="4" width="11.6640625" bestFit="1" customWidth="1"/>
    <col min="6" max="6" width="16.83203125" customWidth="1"/>
    <col min="7" max="7" width="14.83203125" customWidth="1"/>
    <col min="8" max="8" width="15.5" bestFit="1" customWidth="1"/>
    <col min="10" max="10" width="10.83203125" bestFit="1" customWidth="1"/>
    <col min="11" max="11" width="14.83203125" customWidth="1"/>
    <col min="12" max="12" width="10.1640625" bestFit="1" customWidth="1"/>
    <col min="15" max="15" width="15" customWidth="1"/>
    <col min="16" max="16" width="13" bestFit="1" customWidth="1"/>
    <col min="17" max="17" width="12.83203125" bestFit="1" customWidth="1"/>
    <col min="18" max="18" width="6.83203125" customWidth="1"/>
    <col min="20" max="20" width="15.33203125" customWidth="1"/>
    <col min="21" max="21" width="11.5" customWidth="1"/>
    <col min="23" max="23" width="17.33203125" customWidth="1"/>
    <col min="25" max="25" width="15" customWidth="1"/>
    <col min="26" max="26" width="14.1640625" customWidth="1"/>
    <col min="30" max="30" width="17" customWidth="1"/>
    <col min="37" max="37" width="11.6640625" customWidth="1"/>
  </cols>
  <sheetData>
    <row r="1" spans="1:43" x14ac:dyDescent="0.2">
      <c r="A1" s="98" t="s">
        <v>107</v>
      </c>
      <c r="B1" s="98"/>
      <c r="C1" s="20">
        <v>44978</v>
      </c>
      <c r="D1" s="1">
        <f ca="1">TODAY()</f>
        <v>44991</v>
      </c>
      <c r="G1" s="49" t="s">
        <v>91</v>
      </c>
      <c r="H1" s="50"/>
      <c r="I1" s="50"/>
      <c r="J1" s="50"/>
      <c r="K1" s="50"/>
      <c r="L1" s="50" t="s">
        <v>92</v>
      </c>
      <c r="M1" s="51">
        <v>23</v>
      </c>
      <c r="S1" s="63" t="s">
        <v>99</v>
      </c>
      <c r="T1" s="64"/>
      <c r="U1" s="64"/>
      <c r="W1" s="73" t="s">
        <v>102</v>
      </c>
      <c r="Y1" t="s">
        <v>103</v>
      </c>
      <c r="Z1" t="s">
        <v>104</v>
      </c>
      <c r="AD1" s="73" t="s">
        <v>105</v>
      </c>
      <c r="AK1" s="73" t="s">
        <v>106</v>
      </c>
    </row>
    <row r="2" spans="1:43" x14ac:dyDescent="0.2">
      <c r="A2" s="98" t="s">
        <v>108</v>
      </c>
      <c r="B2" s="98"/>
      <c r="C2" s="21">
        <f>Today</f>
        <v>44978</v>
      </c>
      <c r="G2" s="52" t="s">
        <v>10</v>
      </c>
      <c r="H2" s="39" t="s">
        <v>93</v>
      </c>
      <c r="I2" s="39"/>
      <c r="J2" s="39"/>
      <c r="K2" s="53"/>
      <c r="L2" s="39"/>
      <c r="M2" s="54"/>
      <c r="P2" s="61"/>
      <c r="S2" s="65" t="s">
        <v>10</v>
      </c>
      <c r="T2" s="66"/>
      <c r="U2" s="67">
        <f>Future1</f>
        <v>45000</v>
      </c>
      <c r="W2" s="19" t="s">
        <v>18</v>
      </c>
      <c r="X2" s="19">
        <f>COUNTIF(S8,"&lt;&gt;0")+COUNTIF(S15,"&lt;&gt;0")+COUNTIF(S31,"&lt;&gt;0")</f>
        <v>3</v>
      </c>
      <c r="Y2" s="19"/>
      <c r="Z2" s="19" t="s">
        <v>30</v>
      </c>
      <c r="AA2" s="19">
        <f>COUNT(_xlfn.UNIQUE(AN8:AN59))</f>
        <v>23</v>
      </c>
    </row>
    <row r="3" spans="1:43" x14ac:dyDescent="0.2">
      <c r="A3" s="98" t="s">
        <v>109</v>
      </c>
      <c r="B3" s="98"/>
      <c r="C3" s="20">
        <f>WORKDAY(PricerDate,2,TARGETCalendar)</f>
        <v>44980</v>
      </c>
      <c r="F3" s="1"/>
      <c r="G3" s="55" t="s">
        <v>94</v>
      </c>
      <c r="H3" t="s">
        <v>95</v>
      </c>
      <c r="K3" s="56"/>
      <c r="M3" s="57"/>
      <c r="P3" s="99" t="s">
        <v>98</v>
      </c>
      <c r="S3" s="65" t="s">
        <v>100</v>
      </c>
      <c r="T3" s="66"/>
      <c r="U3" s="68" cm="1">
        <f t="array" ref="U3">SpLine(_xlfn.ANCHORARRAY(T8),_xlfn.ANCHORARRAY(U8),U2)</f>
        <v>2</v>
      </c>
      <c r="W3" s="19" t="s">
        <v>29</v>
      </c>
      <c r="X3" s="19" cm="1">
        <f t="array" ref="X3">COLUMN(Q:Q)</f>
        <v>17</v>
      </c>
      <c r="Y3" s="19"/>
      <c r="Z3" s="74" t="s">
        <v>32</v>
      </c>
      <c r="AA3" s="19">
        <f>COUNT(_xlfn.UNIQUE(AO8:AO59))</f>
        <v>23</v>
      </c>
    </row>
    <row r="4" spans="1:43" x14ac:dyDescent="0.2">
      <c r="A4" s="100" t="s">
        <v>110</v>
      </c>
      <c r="B4" s="100"/>
      <c r="C4" s="22">
        <f>SpotNext</f>
        <v>44980</v>
      </c>
      <c r="G4" s="55" t="s">
        <v>96</v>
      </c>
      <c r="H4" t="s">
        <v>93</v>
      </c>
      <c r="K4" s="56"/>
      <c r="M4" s="57"/>
      <c r="P4" s="99"/>
      <c r="S4" s="65" t="s">
        <v>27</v>
      </c>
      <c r="T4" s="66"/>
      <c r="U4" s="69">
        <f>YEARFRAC(C4,U2,2)</f>
        <v>5.5555555555555552E-2</v>
      </c>
      <c r="W4" s="19" t="s">
        <v>23</v>
      </c>
      <c r="X4" s="19">
        <f>COUNT(_xlfn.UNIQUE(AM8:AM60))</f>
        <v>23</v>
      </c>
      <c r="Y4" s="19"/>
      <c r="Z4" s="19" t="s">
        <v>24</v>
      </c>
      <c r="AA4" s="19">
        <f>COUNTIF(Selected,TRUE)</f>
        <v>23</v>
      </c>
      <c r="AD4" s="19" t="s">
        <v>23</v>
      </c>
      <c r="AE4" s="19"/>
    </row>
    <row r="5" spans="1:43" x14ac:dyDescent="0.2">
      <c r="A5" s="98"/>
      <c r="B5" s="98"/>
      <c r="C5" s="19" t="b">
        <v>1</v>
      </c>
      <c r="G5" s="58" t="s">
        <v>97</v>
      </c>
      <c r="H5" s="5" t="s">
        <v>93</v>
      </c>
      <c r="I5" s="5"/>
      <c r="J5" s="5"/>
      <c r="K5" s="59"/>
      <c r="L5" s="5"/>
      <c r="M5" s="60"/>
      <c r="P5" s="62"/>
      <c r="S5" s="58" t="s">
        <v>30</v>
      </c>
      <c r="T5" s="60"/>
      <c r="U5" s="70">
        <f>1/(1*(1+U3*0.01)^U4)</f>
        <v>0.99890045897780821</v>
      </c>
      <c r="W5" s="75"/>
    </row>
    <row r="6" spans="1:43" ht="17" thickBot="1" x14ac:dyDescent="0.25">
      <c r="AL6" s="2"/>
    </row>
    <row r="7" spans="1:43" ht="18" thickTop="1" thickBot="1" x14ac:dyDescent="0.25">
      <c r="A7" s="31" t="s">
        <v>16</v>
      </c>
      <c r="B7" s="32" t="s">
        <v>17</v>
      </c>
      <c r="C7" s="32" t="s">
        <v>18</v>
      </c>
      <c r="D7" s="32" t="s">
        <v>19</v>
      </c>
      <c r="E7" s="32" t="s">
        <v>20</v>
      </c>
      <c r="F7" s="31" t="s">
        <v>21</v>
      </c>
      <c r="G7" s="31" t="s">
        <v>22</v>
      </c>
      <c r="H7" s="31" t="s">
        <v>23</v>
      </c>
      <c r="I7" s="33" t="s">
        <v>24</v>
      </c>
      <c r="J7" s="32" t="s">
        <v>25</v>
      </c>
      <c r="K7" s="31" t="s">
        <v>26</v>
      </c>
      <c r="L7" s="32" t="s">
        <v>27</v>
      </c>
      <c r="M7" s="48" t="s">
        <v>28</v>
      </c>
      <c r="N7" s="48" t="s">
        <v>29</v>
      </c>
      <c r="O7" s="32" t="s">
        <v>30</v>
      </c>
      <c r="P7" s="34" t="s">
        <v>31</v>
      </c>
      <c r="Q7" s="34" t="s">
        <v>32</v>
      </c>
      <c r="S7" s="71" t="s">
        <v>101</v>
      </c>
      <c r="T7" s="72"/>
      <c r="U7" s="72"/>
      <c r="W7" s="71" t="s">
        <v>18</v>
      </c>
      <c r="X7" s="71" t="s">
        <v>29</v>
      </c>
      <c r="Y7" s="71" t="s">
        <v>23</v>
      </c>
      <c r="Z7" s="71" t="s">
        <v>30</v>
      </c>
      <c r="AA7" s="71" t="s">
        <v>32</v>
      </c>
      <c r="AB7" s="71" t="s">
        <v>24</v>
      </c>
      <c r="AC7" s="76"/>
      <c r="AD7" s="71" t="s">
        <v>18</v>
      </c>
      <c r="AE7" s="71" t="s">
        <v>29</v>
      </c>
      <c r="AF7" s="71" t="s">
        <v>23</v>
      </c>
      <c r="AG7" s="71" t="s">
        <v>30</v>
      </c>
      <c r="AH7" s="71" t="s">
        <v>32</v>
      </c>
      <c r="AI7" s="71" t="s">
        <v>24</v>
      </c>
      <c r="AK7" s="71" t="s">
        <v>18</v>
      </c>
      <c r="AL7" s="71" t="s">
        <v>29</v>
      </c>
      <c r="AM7" s="78" t="s">
        <v>23</v>
      </c>
      <c r="AN7" s="78" t="s">
        <v>30</v>
      </c>
      <c r="AO7" s="71" t="s">
        <v>32</v>
      </c>
      <c r="AP7" s="71" t="s">
        <v>24</v>
      </c>
      <c r="AQ7" s="76"/>
    </row>
    <row r="8" spans="1:43" ht="17" thickTop="1" x14ac:dyDescent="0.2">
      <c r="A8" s="35">
        <v>1</v>
      </c>
      <c r="B8" s="36" t="s">
        <v>33</v>
      </c>
      <c r="C8" s="36" t="s">
        <v>34</v>
      </c>
      <c r="D8" s="36" t="s">
        <v>34</v>
      </c>
      <c r="E8" s="37">
        <v>0</v>
      </c>
      <c r="F8" s="38">
        <f>WORKDAY(PricerDate,E8,TARGETCalendar)</f>
        <v>44978</v>
      </c>
      <c r="G8" s="38" t="str">
        <f t="shared" ref="G8:G14" si="0">IF(AND(WEEKDAY(F8,2)&lt;6,NOT(ISNUMBER(MATCH(F8,TARGETCalendar,0)))), "TRUE", "FALSE")</f>
        <v>TRUE</v>
      </c>
      <c r="H8" s="38">
        <f>WORKDAY(PricerDate,E8,TARGETCalendar)</f>
        <v>44978</v>
      </c>
      <c r="I8" t="b">
        <v>1</v>
      </c>
      <c r="J8" s="39">
        <f t="shared" ref="J8:J33" si="1">H8-SpotNext</f>
        <v>-2</v>
      </c>
      <c r="K8" s="39" t="s">
        <v>89</v>
      </c>
      <c r="L8" s="40">
        <f t="shared" ref="L8:L30" si="2">YEARFRAC(SpotNext,H8,2)*IF(H8&lt;SpotNext,-1,1)</f>
        <v>-5.5555555555555558E-3</v>
      </c>
      <c r="M8" s="44">
        <v>2</v>
      </c>
      <c r="N8" s="44">
        <v>2</v>
      </c>
      <c r="O8" s="81">
        <f>1/(1+L8*N8/100)</f>
        <v>1.0001111234581619</v>
      </c>
      <c r="P8" s="39"/>
      <c r="Q8" s="81">
        <f>IF(L8=0,N8,((1/O8)^(1/L8)-1)*100)</f>
        <v>2.0202473668374132</v>
      </c>
      <c r="S8" t="str" cm="1">
        <f t="array" ref="S8:S10">IFERROR(_xlfn._xlws.FILTER(C8:C14,I8:I14=TRUE),0)</f>
        <v>O/N</v>
      </c>
      <c r="T8" s="1" cm="1">
        <f t="array" ref="T8:T10">IFERROR(_xlfn._xlws.FILTER(H8:H14,I8:I14=TRUE),"")</f>
        <v>44978</v>
      </c>
      <c r="U8" s="41" cm="1">
        <f t="array" ref="U8:U10">IFERROR(_xlfn._xlws.FILTER(N8:N14,I8:I14=TRUE),"")</f>
        <v>2</v>
      </c>
      <c r="W8" t="str" cm="1">
        <f t="array" ref="W8:W60">Source</f>
        <v>O/N</v>
      </c>
      <c r="X8" s="77" cm="1">
        <f t="array" ref="X8:X60">UsedRate</f>
        <v>2</v>
      </c>
      <c r="Y8" s="2" cm="1">
        <f t="array" ref="Y8:Y60">BdAdjusted</f>
        <v>44978</v>
      </c>
      <c r="Z8" s="77" cm="1">
        <f t="array" ref="Z8:Z60">Df</f>
        <v>1.0001111234581619</v>
      </c>
      <c r="AA8" s="77" cm="1">
        <f t="array" ref="AA8:AA60">Zc</f>
        <v>2.0202473668374132</v>
      </c>
      <c r="AB8" t="b" cm="1">
        <f t="array" ref="AB8:AB60">Selected</f>
        <v>1</v>
      </c>
      <c r="AD8" t="str" cm="1">
        <f t="array" ref="AD8:AI60">_xlfn.SORTBY(TABLE1,Y8:Y60)</f>
        <v>O/N</v>
      </c>
      <c r="AE8" s="77">
        <v>2</v>
      </c>
      <c r="AF8" s="2">
        <v>44978</v>
      </c>
      <c r="AG8" s="77">
        <v>1.0001111234581619</v>
      </c>
      <c r="AH8" s="77">
        <v>2.0202473668374132</v>
      </c>
      <c r="AI8" t="b">
        <v>1</v>
      </c>
      <c r="AK8" t="str" cm="1">
        <f t="array" ref="AK8:AP30">IFERROR(_xlfn._xlws.FILTER(TABLE2,AI8:AI60=TRUE),0)</f>
        <v>O/N</v>
      </c>
      <c r="AL8" s="77">
        <v>2</v>
      </c>
      <c r="AM8" s="79">
        <v>44978</v>
      </c>
      <c r="AN8" s="80">
        <v>1.0001111234581619</v>
      </c>
      <c r="AO8" s="77">
        <v>2.0202473668374132</v>
      </c>
      <c r="AP8" s="77" t="b">
        <v>1</v>
      </c>
    </row>
    <row r="9" spans="1:43" x14ac:dyDescent="0.2">
      <c r="A9" s="7">
        <v>2</v>
      </c>
      <c r="B9" s="8" t="s">
        <v>33</v>
      </c>
      <c r="C9" s="8" t="s">
        <v>35</v>
      </c>
      <c r="D9" s="8" t="s">
        <v>35</v>
      </c>
      <c r="E9" s="24">
        <v>1</v>
      </c>
      <c r="F9" s="1">
        <f>WORKDAY(PricerDate,E9,TARGETCalendar)</f>
        <v>44979</v>
      </c>
      <c r="G9" s="1" t="str">
        <f t="shared" si="0"/>
        <v>TRUE</v>
      </c>
      <c r="H9" s="1">
        <f>WORKDAY(PricerDate,E9,TARGETCalendar)</f>
        <v>44979</v>
      </c>
      <c r="I9" t="b">
        <v>1</v>
      </c>
      <c r="J9">
        <f t="shared" si="1"/>
        <v>-1</v>
      </c>
      <c r="K9" t="s">
        <v>89</v>
      </c>
      <c r="L9" s="41">
        <f t="shared" si="2"/>
        <v>-2.7777777777777779E-3</v>
      </c>
      <c r="M9" s="44">
        <v>2</v>
      </c>
      <c r="N9" s="44">
        <v>2</v>
      </c>
      <c r="O9" s="77">
        <f t="shared" ref="O9:O14" si="3">1/(1+L9*N9/100)</f>
        <v>1.0000555586421469</v>
      </c>
      <c r="Q9" s="77">
        <f t="shared" ref="Q9:Q60" si="4">IF(L9=0,N9,((1/O9)^(1/L9)-1)*100)</f>
        <v>2.0201906826473603</v>
      </c>
      <c r="S9" s="2" t="str">
        <v>T/N</v>
      </c>
      <c r="T9" s="1">
        <v>44979</v>
      </c>
      <c r="U9" s="41">
        <v>2</v>
      </c>
      <c r="W9" t="str">
        <v>T/N</v>
      </c>
      <c r="X9" s="77">
        <v>2</v>
      </c>
      <c r="Y9" s="2">
        <v>44979</v>
      </c>
      <c r="Z9" s="77">
        <v>1.0000555586421469</v>
      </c>
      <c r="AA9" s="77">
        <v>2.0201906826473603</v>
      </c>
      <c r="AB9" t="b">
        <v>1</v>
      </c>
      <c r="AD9" t="str">
        <v>T/N</v>
      </c>
      <c r="AE9" s="77">
        <v>2</v>
      </c>
      <c r="AF9" s="2">
        <v>44979</v>
      </c>
      <c r="AG9" s="77">
        <v>1.0000555586421469</v>
      </c>
      <c r="AH9" s="77">
        <v>2.0201906826473603</v>
      </c>
      <c r="AI9" t="b">
        <v>1</v>
      </c>
      <c r="AK9" t="str">
        <v>T/N</v>
      </c>
      <c r="AL9" s="77">
        <v>2</v>
      </c>
      <c r="AM9" s="79">
        <v>44979</v>
      </c>
      <c r="AN9" s="80">
        <v>1.0000555586421469</v>
      </c>
      <c r="AO9" s="77">
        <v>2.0201906826473603</v>
      </c>
      <c r="AP9" s="77" t="b">
        <v>1</v>
      </c>
    </row>
    <row r="10" spans="1:43" x14ac:dyDescent="0.2">
      <c r="A10" s="7">
        <v>3</v>
      </c>
      <c r="B10" s="8" t="s">
        <v>33</v>
      </c>
      <c r="C10" s="8" t="s">
        <v>36</v>
      </c>
      <c r="D10" s="8" t="s">
        <v>36</v>
      </c>
      <c r="E10" s="24">
        <v>2</v>
      </c>
      <c r="F10" s="1">
        <f>WORKDAY(PricerDate,E10,TARGETCalendar)</f>
        <v>44980</v>
      </c>
      <c r="G10" s="1" t="str">
        <f t="shared" si="0"/>
        <v>TRUE</v>
      </c>
      <c r="H10" s="1">
        <f>WORKDAY(PricerDate,E10,TARGETCalendar)</f>
        <v>44980</v>
      </c>
      <c r="I10" t="b">
        <v>1</v>
      </c>
      <c r="J10">
        <f t="shared" si="1"/>
        <v>0</v>
      </c>
      <c r="K10" t="s">
        <v>89</v>
      </c>
      <c r="L10" s="41">
        <f t="shared" si="2"/>
        <v>0</v>
      </c>
      <c r="M10" s="44">
        <v>2</v>
      </c>
      <c r="N10" s="44">
        <v>2</v>
      </c>
      <c r="O10" s="77">
        <f t="shared" si="3"/>
        <v>1</v>
      </c>
      <c r="Q10" s="77">
        <f t="shared" si="4"/>
        <v>2</v>
      </c>
      <c r="S10" s="2" t="str">
        <v>S/N</v>
      </c>
      <c r="T10" s="1">
        <v>44980</v>
      </c>
      <c r="U10" s="41">
        <v>2</v>
      </c>
      <c r="W10" t="str">
        <v>S/N</v>
      </c>
      <c r="X10" s="77">
        <v>2</v>
      </c>
      <c r="Y10" s="2">
        <v>44980</v>
      </c>
      <c r="Z10" s="77">
        <v>1</v>
      </c>
      <c r="AA10" s="77">
        <v>2</v>
      </c>
      <c r="AB10" t="b">
        <v>1</v>
      </c>
      <c r="AD10" t="str">
        <v>S/N</v>
      </c>
      <c r="AE10" s="77">
        <v>2</v>
      </c>
      <c r="AF10" s="2">
        <v>44980</v>
      </c>
      <c r="AG10" s="77">
        <v>1</v>
      </c>
      <c r="AH10" s="77">
        <v>2</v>
      </c>
      <c r="AI10" t="b">
        <v>1</v>
      </c>
      <c r="AK10" t="str">
        <v>S/N</v>
      </c>
      <c r="AL10" s="77">
        <v>2</v>
      </c>
      <c r="AM10" s="79">
        <v>44980</v>
      </c>
      <c r="AN10" s="80">
        <v>1</v>
      </c>
      <c r="AO10" s="77">
        <v>2</v>
      </c>
      <c r="AP10" s="77" t="b">
        <v>1</v>
      </c>
    </row>
    <row r="11" spans="1:43" x14ac:dyDescent="0.2">
      <c r="A11" s="9">
        <v>4</v>
      </c>
      <c r="B11" s="10" t="s">
        <v>33</v>
      </c>
      <c r="C11" s="10" t="s">
        <v>37</v>
      </c>
      <c r="D11" s="10" t="s">
        <v>37</v>
      </c>
      <c r="E11" s="25">
        <v>3</v>
      </c>
      <c r="F11" s="26">
        <f>WORKDAY(PricerDate,E11,TARGETCalendar)</f>
        <v>44981</v>
      </c>
      <c r="G11" s="26" t="str">
        <f t="shared" si="0"/>
        <v>TRUE</v>
      </c>
      <c r="H11" s="26">
        <f>WORKDAY(PricerDate,E11,TARGETCalendar)</f>
        <v>44981</v>
      </c>
      <c r="I11" t="b">
        <v>0</v>
      </c>
      <c r="J11" s="5">
        <f t="shared" si="1"/>
        <v>1</v>
      </c>
      <c r="K11" s="5" t="s">
        <v>89</v>
      </c>
      <c r="L11" s="43">
        <f t="shared" si="2"/>
        <v>2.7777777777777779E-3</v>
      </c>
      <c r="M11" s="45">
        <v>2</v>
      </c>
      <c r="N11" s="45">
        <v>2</v>
      </c>
      <c r="O11" s="84">
        <f t="shared" si="3"/>
        <v>0.99994444753069278</v>
      </c>
      <c r="P11" s="5"/>
      <c r="Q11" s="77">
        <f t="shared" si="4"/>
        <v>2.0200773269351213</v>
      </c>
      <c r="S11" s="2"/>
      <c r="T11" s="1"/>
      <c r="U11" s="41"/>
      <c r="W11" t="str">
        <v>Corp</v>
      </c>
      <c r="X11" s="77">
        <v>2</v>
      </c>
      <c r="Y11" s="2">
        <v>44981</v>
      </c>
      <c r="Z11" s="77">
        <v>0.99994444753069278</v>
      </c>
      <c r="AA11" s="77">
        <v>2.0200773269351213</v>
      </c>
      <c r="AB11" t="b">
        <v>0</v>
      </c>
      <c r="AD11" t="str">
        <v>Corp</v>
      </c>
      <c r="AE11" s="77">
        <v>2</v>
      </c>
      <c r="AF11" s="2">
        <v>44981</v>
      </c>
      <c r="AG11" s="77">
        <v>0.99994444753069278</v>
      </c>
      <c r="AH11" s="77">
        <v>2.0200773269351213</v>
      </c>
      <c r="AI11" t="b">
        <v>0</v>
      </c>
      <c r="AK11" t="str">
        <v>F1</v>
      </c>
      <c r="AL11" s="77">
        <v>97.03</v>
      </c>
      <c r="AM11" s="79">
        <v>45098</v>
      </c>
      <c r="AN11" s="80">
        <v>0.99088912043905852</v>
      </c>
      <c r="AO11" s="77">
        <v>2.8316810217294153</v>
      </c>
      <c r="AP11" s="77" t="b">
        <v>1</v>
      </c>
    </row>
    <row r="12" spans="1:43" x14ac:dyDescent="0.2">
      <c r="A12" s="35">
        <v>5</v>
      </c>
      <c r="B12" s="36" t="s">
        <v>33</v>
      </c>
      <c r="C12" s="36" t="s">
        <v>38</v>
      </c>
      <c r="D12" s="35">
        <v>1</v>
      </c>
      <c r="E12" s="37">
        <v>5</v>
      </c>
      <c r="F12" s="38">
        <f>WORKDAY(SpotNext,E12,TARGETCalendar)</f>
        <v>44987</v>
      </c>
      <c r="G12" s="38" t="str">
        <f t="shared" si="0"/>
        <v>TRUE</v>
      </c>
      <c r="H12" s="38">
        <f>WORKDAY(SpotNext,E12,TARGETCalendar)</f>
        <v>44987</v>
      </c>
      <c r="I12" t="b">
        <v>0</v>
      </c>
      <c r="J12" s="39">
        <f t="shared" si="1"/>
        <v>7</v>
      </c>
      <c r="K12" s="39" t="s">
        <v>89</v>
      </c>
      <c r="L12" s="40">
        <f t="shared" si="2"/>
        <v>1.9444444444444445E-2</v>
      </c>
      <c r="M12" s="44">
        <v>2</v>
      </c>
      <c r="N12" s="44">
        <v>2</v>
      </c>
      <c r="O12" s="77">
        <f t="shared" si="3"/>
        <v>0.99961126228688835</v>
      </c>
      <c r="P12" s="39"/>
      <c r="Q12" s="81">
        <f t="shared" si="4"/>
        <v>2.0197373613114245</v>
      </c>
      <c r="S12" s="2"/>
      <c r="T12" s="1"/>
      <c r="U12" s="41"/>
      <c r="W12" t="str">
        <v>1w</v>
      </c>
      <c r="X12" s="77">
        <v>2</v>
      </c>
      <c r="Y12" s="2">
        <v>44987</v>
      </c>
      <c r="Z12" s="77">
        <v>0.99961126228688835</v>
      </c>
      <c r="AA12" s="77">
        <v>2.0197373613114245</v>
      </c>
      <c r="AB12" t="b">
        <v>0</v>
      </c>
      <c r="AD12" t="str">
        <v>1w</v>
      </c>
      <c r="AE12" s="77">
        <v>2</v>
      </c>
      <c r="AF12" s="2">
        <v>44987</v>
      </c>
      <c r="AG12" s="77">
        <v>0.99961126228688835</v>
      </c>
      <c r="AH12" s="77">
        <v>2.0197373613114245</v>
      </c>
      <c r="AI12" t="b">
        <v>0</v>
      </c>
      <c r="AK12" t="str">
        <v>F2</v>
      </c>
      <c r="AL12" s="77">
        <v>96.56</v>
      </c>
      <c r="AM12" s="79">
        <v>45189</v>
      </c>
      <c r="AN12" s="80">
        <v>0.9823470669436134</v>
      </c>
      <c r="AO12" s="77">
        <v>3.1153989302005414</v>
      </c>
      <c r="AP12" s="77" t="b">
        <v>1</v>
      </c>
    </row>
    <row r="13" spans="1:43" x14ac:dyDescent="0.2">
      <c r="A13" s="7">
        <v>6</v>
      </c>
      <c r="B13" s="8" t="s">
        <v>33</v>
      </c>
      <c r="C13" s="8" t="s">
        <v>39</v>
      </c>
      <c r="D13" s="7">
        <v>2</v>
      </c>
      <c r="E13" s="24">
        <v>10</v>
      </c>
      <c r="F13" s="1">
        <f>WORKDAY(SpotNext,E13,TARGETCalendar)</f>
        <v>44994</v>
      </c>
      <c r="G13" s="1" t="str">
        <f t="shared" si="0"/>
        <v>TRUE</v>
      </c>
      <c r="H13" s="1">
        <f>WORKDAY(SpotNext,E13,TARGETCalendar)</f>
        <v>44994</v>
      </c>
      <c r="I13" t="b">
        <v>0</v>
      </c>
      <c r="J13">
        <f t="shared" si="1"/>
        <v>14</v>
      </c>
      <c r="K13" t="s">
        <v>89</v>
      </c>
      <c r="L13" s="41">
        <f t="shared" si="2"/>
        <v>3.888888888888889E-2</v>
      </c>
      <c r="M13" s="44">
        <v>2</v>
      </c>
      <c r="N13" s="44">
        <v>2</v>
      </c>
      <c r="O13" s="77">
        <f t="shared" si="3"/>
        <v>0.99922282669035201</v>
      </c>
      <c r="Q13" s="77">
        <f t="shared" si="4"/>
        <v>2.0193409270263807</v>
      </c>
      <c r="S13" s="2"/>
      <c r="T13" s="1"/>
      <c r="U13" s="41"/>
      <c r="W13" t="str">
        <v>2w</v>
      </c>
      <c r="X13" s="77">
        <v>2</v>
      </c>
      <c r="Y13" s="2">
        <v>44994</v>
      </c>
      <c r="Z13" s="77">
        <v>0.99922282669035201</v>
      </c>
      <c r="AA13" s="77">
        <v>2.0193409270263807</v>
      </c>
      <c r="AB13" t="b">
        <v>0</v>
      </c>
      <c r="AD13" t="str">
        <v>2w</v>
      </c>
      <c r="AE13" s="77">
        <v>2</v>
      </c>
      <c r="AF13" s="2">
        <v>44994</v>
      </c>
      <c r="AG13" s="77">
        <v>0.99922282669035201</v>
      </c>
      <c r="AH13" s="77">
        <v>2.0193409270263807</v>
      </c>
      <c r="AI13" t="b">
        <v>0</v>
      </c>
      <c r="AK13" t="str">
        <v>F3</v>
      </c>
      <c r="AL13" s="77">
        <v>96.53</v>
      </c>
      <c r="AM13" s="79">
        <v>45280</v>
      </c>
      <c r="AN13" s="80">
        <v>0.97380544072093422</v>
      </c>
      <c r="AO13" s="77">
        <v>3.2365217907719179</v>
      </c>
      <c r="AP13" s="77" t="b">
        <v>1</v>
      </c>
    </row>
    <row r="14" spans="1:43" x14ac:dyDescent="0.2">
      <c r="A14" s="9">
        <v>7</v>
      </c>
      <c r="B14" s="10" t="s">
        <v>33</v>
      </c>
      <c r="C14" s="10" t="s">
        <v>40</v>
      </c>
      <c r="D14" s="9">
        <v>3</v>
      </c>
      <c r="E14" s="25">
        <v>15</v>
      </c>
      <c r="F14" s="26">
        <f>WORKDAY(SpotNext,E14,TARGETCalendar)</f>
        <v>45001</v>
      </c>
      <c r="G14" s="26" t="str">
        <f t="shared" si="0"/>
        <v>TRUE</v>
      </c>
      <c r="H14" s="26">
        <f>WORKDAY(SpotNext,E14,TARGETCalendar)</f>
        <v>45001</v>
      </c>
      <c r="I14" t="b">
        <v>0</v>
      </c>
      <c r="J14" s="5">
        <f t="shared" si="1"/>
        <v>21</v>
      </c>
      <c r="K14" s="5" t="s">
        <v>89</v>
      </c>
      <c r="L14" s="43">
        <f t="shared" si="2"/>
        <v>5.8333333333333334E-2</v>
      </c>
      <c r="M14" s="45">
        <v>2</v>
      </c>
      <c r="N14" s="45">
        <v>2</v>
      </c>
      <c r="O14" s="84">
        <f t="shared" si="3"/>
        <v>0.99883469285833182</v>
      </c>
      <c r="P14" s="5"/>
      <c r="Q14" s="77">
        <f t="shared" si="4"/>
        <v>2.0189446996402571</v>
      </c>
      <c r="S14" s="2"/>
      <c r="T14" s="1"/>
      <c r="U14" s="41"/>
      <c r="W14" t="str">
        <v>3w</v>
      </c>
      <c r="X14" s="77">
        <v>2</v>
      </c>
      <c r="Y14" s="2">
        <v>45001</v>
      </c>
      <c r="Z14" s="77">
        <v>0.99883469285833182</v>
      </c>
      <c r="AA14" s="77">
        <v>2.0189446996402571</v>
      </c>
      <c r="AB14" t="b">
        <v>0</v>
      </c>
      <c r="AD14" t="str">
        <v>3w</v>
      </c>
      <c r="AE14" s="77">
        <v>2</v>
      </c>
      <c r="AF14" s="2">
        <v>45001</v>
      </c>
      <c r="AG14" s="77">
        <v>0.99883469285833182</v>
      </c>
      <c r="AH14" s="77">
        <v>2.0189446996402571</v>
      </c>
      <c r="AI14" t="b">
        <v>0</v>
      </c>
      <c r="AK14" t="str">
        <v>1y</v>
      </c>
      <c r="AL14" s="77">
        <v>3.25</v>
      </c>
      <c r="AM14" s="79">
        <v>45345</v>
      </c>
      <c r="AN14" s="80">
        <v>0.96852300242130751</v>
      </c>
      <c r="AO14" s="77">
        <v>3.2499999999999973</v>
      </c>
      <c r="AP14" s="77" t="b">
        <v>1</v>
      </c>
    </row>
    <row r="15" spans="1:43" x14ac:dyDescent="0.2">
      <c r="A15" s="7">
        <v>14</v>
      </c>
      <c r="B15" s="8" t="s">
        <v>41</v>
      </c>
      <c r="C15" s="8" t="s">
        <v>42</v>
      </c>
      <c r="D15" s="7">
        <v>1</v>
      </c>
      <c r="E15" s="24"/>
      <c r="F15" s="2" cm="1">
        <f t="array" ref="F15">ThirdWednesdayOfThisMonth(EDATE(DATE(YEAR(SpotNext),1,1),2))</f>
        <v>45000</v>
      </c>
      <c r="G15" s="1"/>
      <c r="H15" s="1" cm="1">
        <f t="array" ref="H15">ThirdWednesdayOfThisMonth(EDATE(F15,3))</f>
        <v>45098</v>
      </c>
      <c r="I15" t="b">
        <v>1</v>
      </c>
      <c r="J15">
        <f t="shared" si="1"/>
        <v>118</v>
      </c>
      <c r="K15" t="s">
        <v>89</v>
      </c>
      <c r="L15" s="41">
        <f t="shared" si="2"/>
        <v>0.32777777777777778</v>
      </c>
      <c r="M15" s="44">
        <v>97.03</v>
      </c>
      <c r="N15" s="44">
        <v>97.03</v>
      </c>
      <c r="O15" s="77">
        <f>U5*(1+YEARFRAC(F15,H15,2)*(1-N15/100))^-1</f>
        <v>0.99088912043905852</v>
      </c>
      <c r="Q15" s="77">
        <f t="shared" si="4"/>
        <v>2.8316810217294153</v>
      </c>
      <c r="S15" t="str" cm="1">
        <f t="array" ref="S15:S18">IFERROR(_xlfn._xlws.FILTER(C15:C30,I15:I30=TRUE),0)</f>
        <v>F1</v>
      </c>
      <c r="T15" s="1" cm="1">
        <f t="array" ref="T15:T18">IFERROR(_xlfn._xlws.FILTER(H15:H30,I15:I30=TRUE),"")</f>
        <v>45098</v>
      </c>
      <c r="U15" s="41" cm="1">
        <f t="array" ref="U15:U18">IFERROR(_xlfn._xlws.FILTER(N15:N30,I15:I30=TRUE),"")</f>
        <v>97.03</v>
      </c>
      <c r="W15" t="str">
        <v>F1</v>
      </c>
      <c r="X15" s="77">
        <v>97.03</v>
      </c>
      <c r="Y15" s="2">
        <v>45098</v>
      </c>
      <c r="Z15" s="77">
        <v>0.99088912043905852</v>
      </c>
      <c r="AA15" s="77">
        <v>2.8316810217294153</v>
      </c>
      <c r="AB15" t="b">
        <v>1</v>
      </c>
      <c r="AD15" t="str">
        <v>F1</v>
      </c>
      <c r="AE15" s="77">
        <v>97.03</v>
      </c>
      <c r="AF15" s="2">
        <v>45098</v>
      </c>
      <c r="AG15" s="77">
        <v>0.99088912043905852</v>
      </c>
      <c r="AH15" s="77">
        <v>2.8316810217294153</v>
      </c>
      <c r="AI15" t="b">
        <v>1</v>
      </c>
      <c r="AK15" t="str">
        <v>F4</v>
      </c>
      <c r="AL15" s="77">
        <v>96.65</v>
      </c>
      <c r="AM15" s="79">
        <v>45371</v>
      </c>
      <c r="AN15" s="80">
        <v>0.9656284453992684</v>
      </c>
      <c r="AO15" s="77">
        <v>3.2727236735251575</v>
      </c>
      <c r="AP15" s="77" t="b">
        <v>1</v>
      </c>
    </row>
    <row r="16" spans="1:43" x14ac:dyDescent="0.2">
      <c r="A16" s="7">
        <v>15</v>
      </c>
      <c r="B16" s="8" t="s">
        <v>41</v>
      </c>
      <c r="C16" s="8" t="s">
        <v>43</v>
      </c>
      <c r="D16" s="7">
        <v>2</v>
      </c>
      <c r="E16" s="24"/>
      <c r="F16" s="2" cm="1">
        <f t="array" ref="F16">ThirdWednesdayOfThisMonth(EDATE(F15,3))</f>
        <v>45098</v>
      </c>
      <c r="G16" s="1"/>
      <c r="H16" s="1" cm="1">
        <f t="array" ref="H16">ThirdWednesdayOfThisMonth(EDATE(F16,3))</f>
        <v>45189</v>
      </c>
      <c r="I16" t="b">
        <v>1</v>
      </c>
      <c r="J16">
        <f t="shared" si="1"/>
        <v>209</v>
      </c>
      <c r="K16" t="s">
        <v>89</v>
      </c>
      <c r="L16" s="41">
        <f t="shared" si="2"/>
        <v>0.5805555555555556</v>
      </c>
      <c r="M16" s="44">
        <v>96.56</v>
      </c>
      <c r="N16" s="44">
        <v>96.56</v>
      </c>
      <c r="O16" s="77">
        <f>O15*(1+YEARFRAC(F16,H16,2)*(1-N16/100))^-1</f>
        <v>0.9823470669436134</v>
      </c>
      <c r="Q16" s="77">
        <f t="shared" si="4"/>
        <v>3.1153989302005414</v>
      </c>
      <c r="S16" t="str">
        <v>F2</v>
      </c>
      <c r="T16" s="1">
        <v>45189</v>
      </c>
      <c r="U16">
        <v>96.56</v>
      </c>
      <c r="W16" t="str">
        <v>F2</v>
      </c>
      <c r="X16" s="77">
        <v>96.56</v>
      </c>
      <c r="Y16" s="2">
        <v>45189</v>
      </c>
      <c r="Z16" s="77">
        <v>0.9823470669436134</v>
      </c>
      <c r="AA16" s="77">
        <v>3.1153989302005414</v>
      </c>
      <c r="AB16" t="b">
        <v>1</v>
      </c>
      <c r="AD16" t="str">
        <v>F2</v>
      </c>
      <c r="AE16" s="77">
        <v>96.56</v>
      </c>
      <c r="AF16" s="2">
        <v>45189</v>
      </c>
      <c r="AG16" s="77">
        <v>0.9823470669436134</v>
      </c>
      <c r="AH16" s="77">
        <v>3.1153989302005414</v>
      </c>
      <c r="AI16" t="b">
        <v>1</v>
      </c>
      <c r="AK16" t="str">
        <v>2y</v>
      </c>
      <c r="AL16" s="77">
        <v>3.18</v>
      </c>
      <c r="AM16" s="79">
        <v>45712</v>
      </c>
      <c r="AN16" s="80">
        <v>0.93924985603061295</v>
      </c>
      <c r="AO16" s="77">
        <v>3.1788197313115107</v>
      </c>
      <c r="AP16" s="77" t="b">
        <v>1</v>
      </c>
    </row>
    <row r="17" spans="1:42" x14ac:dyDescent="0.2">
      <c r="A17" s="7">
        <v>16</v>
      </c>
      <c r="B17" s="8" t="s">
        <v>41</v>
      </c>
      <c r="C17" s="8" t="s">
        <v>44</v>
      </c>
      <c r="D17" s="7">
        <v>3</v>
      </c>
      <c r="E17" s="24"/>
      <c r="F17" s="2" cm="1">
        <f t="array" ref="F17">ThirdWednesdayOfThisMonth(EDATE(F16,3))</f>
        <v>45189</v>
      </c>
      <c r="G17" s="1"/>
      <c r="H17" s="1" cm="1">
        <f t="array" ref="H17">ThirdWednesdayOfThisMonth(EDATE(F17,3))</f>
        <v>45280</v>
      </c>
      <c r="I17" t="b">
        <v>1</v>
      </c>
      <c r="J17">
        <f t="shared" si="1"/>
        <v>300</v>
      </c>
      <c r="K17" t="s">
        <v>89</v>
      </c>
      <c r="L17" s="41">
        <f t="shared" si="2"/>
        <v>0.83333333333333337</v>
      </c>
      <c r="M17" s="44">
        <v>96.53</v>
      </c>
      <c r="N17" s="44">
        <v>96.53</v>
      </c>
      <c r="O17" s="77">
        <f t="shared" ref="O17:O30" si="5">O16*(1+YEARFRAC(F17,H17,2)*(1-N17/100))^-1</f>
        <v>0.97380544072093422</v>
      </c>
      <c r="Q17" s="77">
        <f t="shared" si="4"/>
        <v>3.2365217907719179</v>
      </c>
      <c r="S17" t="str">
        <v>F3</v>
      </c>
      <c r="T17" s="1">
        <v>45280</v>
      </c>
      <c r="U17">
        <v>96.53</v>
      </c>
      <c r="W17" t="str">
        <v>F3</v>
      </c>
      <c r="X17" s="77">
        <v>96.53</v>
      </c>
      <c r="Y17" s="2">
        <v>45280</v>
      </c>
      <c r="Z17" s="77">
        <v>0.97380544072093422</v>
      </c>
      <c r="AA17" s="77">
        <v>3.2365217907719179</v>
      </c>
      <c r="AB17" t="b">
        <v>1</v>
      </c>
      <c r="AD17" t="str">
        <v>F3</v>
      </c>
      <c r="AE17" s="77">
        <v>96.53</v>
      </c>
      <c r="AF17" s="2">
        <v>45280</v>
      </c>
      <c r="AG17" s="77">
        <v>0.97380544072093422</v>
      </c>
      <c r="AH17" s="77">
        <v>3.2365217907719179</v>
      </c>
      <c r="AI17" t="b">
        <v>1</v>
      </c>
      <c r="AK17" t="str">
        <v>3y</v>
      </c>
      <c r="AL17" s="77">
        <v>2.98</v>
      </c>
      <c r="AM17" s="79">
        <v>46076</v>
      </c>
      <c r="AN17" s="80">
        <v>0.91585398345289526</v>
      </c>
      <c r="AO17" s="77">
        <v>2.9732896242804285</v>
      </c>
      <c r="AP17" s="77" t="b">
        <v>1</v>
      </c>
    </row>
    <row r="18" spans="1:42" x14ac:dyDescent="0.2">
      <c r="A18" s="9">
        <v>17</v>
      </c>
      <c r="B18" s="10" t="s">
        <v>41</v>
      </c>
      <c r="C18" s="10" t="s">
        <v>45</v>
      </c>
      <c r="D18" s="9">
        <v>4</v>
      </c>
      <c r="E18" s="25"/>
      <c r="F18" s="29" cm="1">
        <f t="array" ref="F18">ThirdWednesdayOfThisMonth(EDATE(F17,3))</f>
        <v>45280</v>
      </c>
      <c r="G18" s="26"/>
      <c r="H18" s="26" cm="1">
        <f t="array" ref="H18">ThirdWednesdayOfThisMonth(EDATE(F18,3))</f>
        <v>45371</v>
      </c>
      <c r="I18" t="b">
        <v>1</v>
      </c>
      <c r="J18" s="5">
        <f t="shared" si="1"/>
        <v>391</v>
      </c>
      <c r="K18" s="5" t="s">
        <v>89</v>
      </c>
      <c r="L18" s="43">
        <f t="shared" si="2"/>
        <v>1.086111111111111</v>
      </c>
      <c r="M18" s="45">
        <v>96.65</v>
      </c>
      <c r="N18" s="45">
        <v>96.65</v>
      </c>
      <c r="O18" s="84">
        <f t="shared" si="5"/>
        <v>0.9656284453992684</v>
      </c>
      <c r="P18" s="5"/>
      <c r="Q18" s="84">
        <f t="shared" si="4"/>
        <v>3.2727236735251575</v>
      </c>
      <c r="S18" t="str">
        <v>F4</v>
      </c>
      <c r="T18" s="1">
        <v>45371</v>
      </c>
      <c r="U18">
        <v>96.65</v>
      </c>
      <c r="W18" t="str">
        <v>F4</v>
      </c>
      <c r="X18" s="77">
        <v>96.65</v>
      </c>
      <c r="Y18" s="2">
        <v>45371</v>
      </c>
      <c r="Z18" s="77">
        <v>0.9656284453992684</v>
      </c>
      <c r="AA18" s="77">
        <v>3.2727236735251575</v>
      </c>
      <c r="AB18" t="b">
        <v>1</v>
      </c>
      <c r="AD18" t="str">
        <v>1y</v>
      </c>
      <c r="AE18" s="77">
        <v>3.25</v>
      </c>
      <c r="AF18" s="2">
        <v>45345</v>
      </c>
      <c r="AG18" s="77">
        <v>0.96852300242130751</v>
      </c>
      <c r="AH18" s="77">
        <v>3.2499999999999973</v>
      </c>
      <c r="AI18" t="b">
        <v>1</v>
      </c>
      <c r="AK18" t="str">
        <v>4y</v>
      </c>
      <c r="AL18" s="77">
        <v>2.86</v>
      </c>
      <c r="AM18" s="79">
        <v>46441</v>
      </c>
      <c r="AN18" s="80">
        <v>0.89368307762922716</v>
      </c>
      <c r="AO18" s="77">
        <v>2.8499574589608834</v>
      </c>
      <c r="AP18" s="77" t="b">
        <v>1</v>
      </c>
    </row>
    <row r="19" spans="1:42" x14ac:dyDescent="0.2">
      <c r="A19" s="7">
        <v>18</v>
      </c>
      <c r="B19" s="8" t="s">
        <v>41</v>
      </c>
      <c r="C19" s="13" t="s">
        <v>46</v>
      </c>
      <c r="D19" s="7">
        <v>5</v>
      </c>
      <c r="E19" s="24"/>
      <c r="F19" s="2" cm="1">
        <f t="array" ref="F19">ThirdWednesdayOfThisMonth(EDATE(F18,3))</f>
        <v>45371</v>
      </c>
      <c r="G19" s="1"/>
      <c r="H19" s="1" cm="1">
        <f t="array" ref="H19">ThirdWednesdayOfThisMonth(EDATE(F19,3))</f>
        <v>45462</v>
      </c>
      <c r="I19" t="b">
        <v>0</v>
      </c>
      <c r="J19">
        <f t="shared" si="1"/>
        <v>482</v>
      </c>
      <c r="K19" t="s">
        <v>89</v>
      </c>
      <c r="L19" s="41">
        <f t="shared" si="2"/>
        <v>1.3388888888888888</v>
      </c>
      <c r="M19" s="44">
        <v>0</v>
      </c>
      <c r="N19" s="44">
        <v>96.770004272460938</v>
      </c>
      <c r="O19" s="77">
        <f t="shared" si="5"/>
        <v>0.95780821770372349</v>
      </c>
      <c r="Q19" s="77">
        <f t="shared" si="4"/>
        <v>3.2720550089135214</v>
      </c>
      <c r="T19" s="1"/>
      <c r="U19" s="41"/>
      <c r="W19" t="str">
        <v>F5</v>
      </c>
      <c r="X19" s="77">
        <v>96.770004272460938</v>
      </c>
      <c r="Y19" s="2">
        <v>45462</v>
      </c>
      <c r="Z19" s="77">
        <v>0.95780821770372349</v>
      </c>
      <c r="AA19" s="77">
        <v>3.2720550089135214</v>
      </c>
      <c r="AB19" t="b">
        <v>0</v>
      </c>
      <c r="AD19" t="str">
        <v>F4</v>
      </c>
      <c r="AE19" s="77">
        <v>96.65</v>
      </c>
      <c r="AF19" s="2">
        <v>45371</v>
      </c>
      <c r="AG19" s="77">
        <v>0.9656284453992684</v>
      </c>
      <c r="AH19" s="77">
        <v>3.2727236735251575</v>
      </c>
      <c r="AI19" t="b">
        <v>1</v>
      </c>
      <c r="AK19" t="str">
        <v>5y</v>
      </c>
      <c r="AL19" s="77">
        <v>2.8</v>
      </c>
      <c r="AM19" s="79">
        <v>46806</v>
      </c>
      <c r="AN19" s="80">
        <v>0.87151118927438576</v>
      </c>
      <c r="AO19" s="77">
        <v>2.7887078313775016</v>
      </c>
      <c r="AP19" s="77" t="b">
        <v>1</v>
      </c>
    </row>
    <row r="20" spans="1:42" x14ac:dyDescent="0.2">
      <c r="A20" s="7">
        <v>19</v>
      </c>
      <c r="B20" s="8" t="s">
        <v>41</v>
      </c>
      <c r="C20" s="13" t="s">
        <v>47</v>
      </c>
      <c r="D20" s="7">
        <v>6</v>
      </c>
      <c r="E20" s="24"/>
      <c r="F20" s="2" cm="1">
        <f t="array" ref="F20">ThirdWednesdayOfThisMonth(EDATE(F19,3))</f>
        <v>45462</v>
      </c>
      <c r="G20" s="1"/>
      <c r="H20" s="1" cm="1">
        <f t="array" ref="H20">ThirdWednesdayOfThisMonth(EDATE(F20,3))</f>
        <v>45553</v>
      </c>
      <c r="I20" t="b">
        <v>0</v>
      </c>
      <c r="J20">
        <f t="shared" si="1"/>
        <v>573</v>
      </c>
      <c r="K20" t="s">
        <v>89</v>
      </c>
      <c r="L20" s="41">
        <f t="shared" si="2"/>
        <v>1.5916666666666666</v>
      </c>
      <c r="M20" s="44">
        <v>0</v>
      </c>
      <c r="N20" s="44">
        <v>96.82600555279987</v>
      </c>
      <c r="O20" s="77">
        <f t="shared" si="5"/>
        <v>0.95018474050356494</v>
      </c>
      <c r="Q20" s="77">
        <f t="shared" si="4"/>
        <v>3.2624881640757719</v>
      </c>
      <c r="T20" s="1"/>
      <c r="U20" s="41"/>
      <c r="W20" t="str">
        <v>F6</v>
      </c>
      <c r="X20" s="77">
        <v>96.82600555279987</v>
      </c>
      <c r="Y20" s="2">
        <v>45553</v>
      </c>
      <c r="Z20" s="77">
        <v>0.95018474050356494</v>
      </c>
      <c r="AA20" s="77">
        <v>3.2624881640757719</v>
      </c>
      <c r="AB20" t="b">
        <v>0</v>
      </c>
      <c r="AD20" t="str">
        <v>F5</v>
      </c>
      <c r="AE20" s="77">
        <v>96.770004272460938</v>
      </c>
      <c r="AF20" s="2">
        <v>45462</v>
      </c>
      <c r="AG20" s="77">
        <v>0.95780821770372349</v>
      </c>
      <c r="AH20" s="77">
        <v>3.2720550089135214</v>
      </c>
      <c r="AI20" t="b">
        <v>0</v>
      </c>
      <c r="AK20" t="str">
        <v>6y</v>
      </c>
      <c r="AL20" s="77">
        <v>2.76</v>
      </c>
      <c r="AM20" s="79">
        <v>47172</v>
      </c>
      <c r="AN20" s="80">
        <v>0.84988978562993678</v>
      </c>
      <c r="AO20" s="77">
        <v>2.7478867546065766</v>
      </c>
      <c r="AP20" s="77" t="b">
        <v>1</v>
      </c>
    </row>
    <row r="21" spans="1:42" x14ac:dyDescent="0.2">
      <c r="A21" s="7">
        <v>20</v>
      </c>
      <c r="B21" s="8" t="s">
        <v>41</v>
      </c>
      <c r="C21" s="13" t="s">
        <v>48</v>
      </c>
      <c r="D21" s="7">
        <v>7</v>
      </c>
      <c r="E21" s="24"/>
      <c r="F21" s="2" cm="1">
        <f t="array" ref="F21">ThirdWednesdayOfThisMonth(EDATE(F20,3))</f>
        <v>45553</v>
      </c>
      <c r="G21" s="1"/>
      <c r="H21" s="1" cm="1">
        <f t="array" ref="H21">ThirdWednesdayOfThisMonth(EDATE(F21,3))</f>
        <v>45644</v>
      </c>
      <c r="I21" t="b">
        <v>0</v>
      </c>
      <c r="J21">
        <f t="shared" si="1"/>
        <v>664</v>
      </c>
      <c r="K21" t="s">
        <v>89</v>
      </c>
      <c r="L21" s="41">
        <f t="shared" si="2"/>
        <v>1.8444444444444446</v>
      </c>
      <c r="M21" s="44">
        <v>0</v>
      </c>
      <c r="N21" s="44">
        <v>96.754003900652606</v>
      </c>
      <c r="O21" s="77">
        <f t="shared" si="5"/>
        <v>0.94245177589957152</v>
      </c>
      <c r="Q21" s="77">
        <f t="shared" si="4"/>
        <v>3.2656515409678954</v>
      </c>
      <c r="T21" s="1"/>
      <c r="U21" s="41"/>
      <c r="W21" t="str">
        <v>F7</v>
      </c>
      <c r="X21" s="77">
        <v>96.754003900652606</v>
      </c>
      <c r="Y21" s="2">
        <v>45644</v>
      </c>
      <c r="Z21" s="77">
        <v>0.94245177589957152</v>
      </c>
      <c r="AA21" s="77">
        <v>3.2656515409678954</v>
      </c>
      <c r="AB21" t="b">
        <v>0</v>
      </c>
      <c r="AD21" t="str">
        <v>F6</v>
      </c>
      <c r="AE21" s="77">
        <v>96.82600555279987</v>
      </c>
      <c r="AF21" s="2">
        <v>45553</v>
      </c>
      <c r="AG21" s="77">
        <v>0.95018474050356494</v>
      </c>
      <c r="AH21" s="77">
        <v>3.2624881640757719</v>
      </c>
      <c r="AI21" t="b">
        <v>0</v>
      </c>
      <c r="AK21" t="str">
        <v>7y</v>
      </c>
      <c r="AL21" s="77">
        <v>2.74</v>
      </c>
      <c r="AM21" s="79">
        <v>47539</v>
      </c>
      <c r="AN21" s="80">
        <v>0.82815989533473655</v>
      </c>
      <c r="AO21" s="77">
        <v>2.7279674458864811</v>
      </c>
      <c r="AP21" s="77" t="b">
        <v>1</v>
      </c>
    </row>
    <row r="22" spans="1:42" x14ac:dyDescent="0.2">
      <c r="A22" s="9">
        <v>21</v>
      </c>
      <c r="B22" s="10" t="s">
        <v>41</v>
      </c>
      <c r="C22" s="14" t="s">
        <v>49</v>
      </c>
      <c r="D22" s="9">
        <v>8</v>
      </c>
      <c r="E22" s="25"/>
      <c r="F22" s="29" cm="1">
        <f t="array" ref="F22">ThirdWednesdayOfThisMonth(EDATE(F21,3))</f>
        <v>45644</v>
      </c>
      <c r="G22" s="26"/>
      <c r="H22" s="26" cm="1">
        <f t="array" ref="H22">ThirdWednesdayOfThisMonth(EDATE(F22,3))</f>
        <v>45735</v>
      </c>
      <c r="I22" t="b">
        <v>0</v>
      </c>
      <c r="J22" s="5">
        <f t="shared" si="1"/>
        <v>755</v>
      </c>
      <c r="K22" s="5" t="s">
        <v>89</v>
      </c>
      <c r="L22" s="43">
        <f t="shared" si="2"/>
        <v>2.0972222222222223</v>
      </c>
      <c r="M22" s="45">
        <v>0</v>
      </c>
      <c r="N22" s="45">
        <v>96.489997849776046</v>
      </c>
      <c r="O22" s="84">
        <f t="shared" si="5"/>
        <v>0.93416340600236814</v>
      </c>
      <c r="P22" s="5"/>
      <c r="Q22" s="84">
        <f t="shared" si="4"/>
        <v>3.3006398578702134</v>
      </c>
      <c r="T22" s="1"/>
      <c r="U22" s="41"/>
      <c r="W22" t="str">
        <v>F8</v>
      </c>
      <c r="X22" s="77">
        <v>96.489997849776046</v>
      </c>
      <c r="Y22" s="2">
        <v>45735</v>
      </c>
      <c r="Z22" s="77">
        <v>0.93416340600236814</v>
      </c>
      <c r="AA22" s="77">
        <v>3.3006398578702134</v>
      </c>
      <c r="AB22" t="b">
        <v>0</v>
      </c>
      <c r="AD22" t="str">
        <v>F7</v>
      </c>
      <c r="AE22" s="77">
        <v>96.754003900652606</v>
      </c>
      <c r="AF22" s="2">
        <v>45644</v>
      </c>
      <c r="AG22" s="77">
        <v>0.94245177589957152</v>
      </c>
      <c r="AH22" s="77">
        <v>3.2656515409678954</v>
      </c>
      <c r="AI22" t="b">
        <v>0</v>
      </c>
      <c r="AK22" t="str">
        <v>8y</v>
      </c>
      <c r="AL22" s="77">
        <v>2.73</v>
      </c>
      <c r="AM22" s="79">
        <v>47903</v>
      </c>
      <c r="AN22" s="80">
        <v>0.80682199260440368</v>
      </c>
      <c r="AO22" s="77">
        <v>2.7185166882371936</v>
      </c>
      <c r="AP22" s="77" t="b">
        <v>1</v>
      </c>
    </row>
    <row r="23" spans="1:42" x14ac:dyDescent="0.2">
      <c r="A23" s="7">
        <v>22</v>
      </c>
      <c r="B23" s="8" t="s">
        <v>41</v>
      </c>
      <c r="C23" s="15" t="s">
        <v>50</v>
      </c>
      <c r="D23" s="7">
        <v>9</v>
      </c>
      <c r="E23" s="24"/>
      <c r="F23" s="2" cm="1">
        <f t="array" ref="F23">ThirdWednesdayOfThisMonth(EDATE(F22,3))</f>
        <v>45735</v>
      </c>
      <c r="G23" s="1"/>
      <c r="H23" s="1" cm="1">
        <f t="array" ref="H23">ThirdWednesdayOfThisMonth(EDATE(F23,3))</f>
        <v>45826</v>
      </c>
      <c r="I23" t="b">
        <v>0</v>
      </c>
      <c r="J23">
        <f t="shared" si="1"/>
        <v>846</v>
      </c>
      <c r="K23" t="s">
        <v>89</v>
      </c>
      <c r="L23" s="41">
        <f t="shared" si="2"/>
        <v>2.35</v>
      </c>
      <c r="M23" s="44">
        <v>0</v>
      </c>
      <c r="N23" s="44">
        <v>95.969985933927092</v>
      </c>
      <c r="O23" s="77">
        <f t="shared" si="5"/>
        <v>0.92474306687465291</v>
      </c>
      <c r="Q23" s="77">
        <f t="shared" si="4"/>
        <v>3.3853763930342007</v>
      </c>
      <c r="T23" s="1"/>
      <c r="U23" s="41"/>
      <c r="W23" t="str">
        <v>F9</v>
      </c>
      <c r="X23" s="77">
        <v>95.969985933927092</v>
      </c>
      <c r="Y23" s="2">
        <v>45826</v>
      </c>
      <c r="Z23" s="77">
        <v>0.92474306687465291</v>
      </c>
      <c r="AA23" s="77">
        <v>3.3853763930342007</v>
      </c>
      <c r="AB23" t="b">
        <v>0</v>
      </c>
      <c r="AD23" t="str">
        <v>2y</v>
      </c>
      <c r="AE23" s="77">
        <v>3.18</v>
      </c>
      <c r="AF23" s="2">
        <v>45712</v>
      </c>
      <c r="AG23" s="77">
        <v>0.93924985603061295</v>
      </c>
      <c r="AH23" s="77">
        <v>3.1788197313115107</v>
      </c>
      <c r="AI23" t="b">
        <v>1</v>
      </c>
      <c r="AK23" t="str">
        <v>9y</v>
      </c>
      <c r="AL23" s="77">
        <v>2.74</v>
      </c>
      <c r="AM23" s="79">
        <v>48267</v>
      </c>
      <c r="AN23" s="80">
        <v>0.78467403471709574</v>
      </c>
      <c r="AO23" s="77">
        <v>2.7309231892861163</v>
      </c>
      <c r="AP23" s="77" t="b">
        <v>1</v>
      </c>
    </row>
    <row r="24" spans="1:42" x14ac:dyDescent="0.2">
      <c r="A24" s="7">
        <v>23</v>
      </c>
      <c r="B24" s="8" t="s">
        <v>41</v>
      </c>
      <c r="C24" s="15" t="s">
        <v>51</v>
      </c>
      <c r="D24" s="7">
        <v>10</v>
      </c>
      <c r="E24" s="24"/>
      <c r="F24" s="2" cm="1">
        <f t="array" ref="F24">ThirdWednesdayOfThisMonth(EDATE(F23,3))</f>
        <v>45826</v>
      </c>
      <c r="G24" s="1"/>
      <c r="H24" s="1" cm="1">
        <f t="array" ref="H24">ThirdWednesdayOfThisMonth(EDATE(F24,3))</f>
        <v>45917</v>
      </c>
      <c r="I24" t="b">
        <v>0</v>
      </c>
      <c r="J24">
        <f t="shared" si="1"/>
        <v>937</v>
      </c>
      <c r="K24" t="s">
        <v>89</v>
      </c>
      <c r="L24" s="41">
        <f t="shared" si="2"/>
        <v>2.6027777777777779</v>
      </c>
      <c r="M24" s="44">
        <v>0</v>
      </c>
      <c r="N24" s="44">
        <v>95.129966686862645</v>
      </c>
      <c r="O24" s="77">
        <f t="shared" si="5"/>
        <v>0.91349758097947287</v>
      </c>
      <c r="Q24" s="77">
        <f t="shared" si="4"/>
        <v>3.5371983768735626</v>
      </c>
      <c r="T24" s="1"/>
      <c r="U24" s="41"/>
      <c r="W24" t="str">
        <v>F10</v>
      </c>
      <c r="X24" s="77">
        <v>95.129966686862645</v>
      </c>
      <c r="Y24" s="2">
        <v>45917</v>
      </c>
      <c r="Z24" s="77">
        <v>0.91349758097947287</v>
      </c>
      <c r="AA24" s="77">
        <v>3.5371983768735626</v>
      </c>
      <c r="AB24" t="b">
        <v>0</v>
      </c>
      <c r="AD24" t="str">
        <v>F8</v>
      </c>
      <c r="AE24" s="77">
        <v>96.489997849776046</v>
      </c>
      <c r="AF24" s="2">
        <v>45735</v>
      </c>
      <c r="AG24" s="77">
        <v>0.93416340600236814</v>
      </c>
      <c r="AH24" s="77">
        <v>3.3006398578702134</v>
      </c>
      <c r="AI24" t="b">
        <v>0</v>
      </c>
      <c r="AK24" t="str">
        <v>10y</v>
      </c>
      <c r="AL24" s="77">
        <v>2.74</v>
      </c>
      <c r="AM24" s="79">
        <v>48633</v>
      </c>
      <c r="AN24" s="80">
        <v>0.76374735713168762</v>
      </c>
      <c r="AO24" s="77">
        <v>2.7318308342702657</v>
      </c>
      <c r="AP24" s="77" t="b">
        <v>1</v>
      </c>
    </row>
    <row r="25" spans="1:42" x14ac:dyDescent="0.2">
      <c r="A25" s="7">
        <v>24</v>
      </c>
      <c r="B25" s="8" t="s">
        <v>41</v>
      </c>
      <c r="C25" s="15" t="s">
        <v>52</v>
      </c>
      <c r="D25" s="7">
        <v>11</v>
      </c>
      <c r="E25" s="24"/>
      <c r="F25" s="2" cm="1">
        <f t="array" ref="F25">ThirdWednesdayOfThisMonth(EDATE(F24,3))</f>
        <v>45917</v>
      </c>
      <c r="G25" s="1"/>
      <c r="H25" s="1" cm="1">
        <f t="array" ref="H25">ThirdWednesdayOfThisMonth(EDATE(F25,3))</f>
        <v>46008</v>
      </c>
      <c r="I25" t="b">
        <v>0</v>
      </c>
      <c r="J25">
        <f t="shared" si="1"/>
        <v>1028</v>
      </c>
      <c r="K25" t="s">
        <v>89</v>
      </c>
      <c r="L25" s="41">
        <f t="shared" si="2"/>
        <v>2.8555555555555556</v>
      </c>
      <c r="M25" s="44">
        <v>0</v>
      </c>
      <c r="N25" s="44">
        <v>93.905969159917731</v>
      </c>
      <c r="O25" s="77">
        <f t="shared" si="5"/>
        <v>0.89963921842599415</v>
      </c>
      <c r="Q25" s="77">
        <f t="shared" si="4"/>
        <v>3.7731508252907275</v>
      </c>
      <c r="T25" s="1"/>
      <c r="W25" t="str">
        <v>F11</v>
      </c>
      <c r="X25" s="77">
        <v>93.905969159917731</v>
      </c>
      <c r="Y25" s="2">
        <v>46008</v>
      </c>
      <c r="Z25" s="77">
        <v>0.89963921842599415</v>
      </c>
      <c r="AA25" s="77">
        <v>3.7731508252907275</v>
      </c>
      <c r="AB25" t="b">
        <v>0</v>
      </c>
      <c r="AD25" t="str">
        <v>F9</v>
      </c>
      <c r="AE25" s="77">
        <v>95.969985933927092</v>
      </c>
      <c r="AF25" s="2">
        <v>45826</v>
      </c>
      <c r="AG25" s="77">
        <v>0.92474306687465291</v>
      </c>
      <c r="AH25" s="77">
        <v>3.3853763930342007</v>
      </c>
      <c r="AI25" t="b">
        <v>0</v>
      </c>
      <c r="AK25" t="str">
        <v>11y</v>
      </c>
      <c r="AL25" s="77">
        <v>2.75</v>
      </c>
      <c r="AM25" s="79">
        <v>48998</v>
      </c>
      <c r="AN25" s="80">
        <v>0.74246727124945067</v>
      </c>
      <c r="AO25" s="77">
        <v>2.7440327067158599</v>
      </c>
      <c r="AP25" s="77" t="b">
        <v>1</v>
      </c>
    </row>
    <row r="26" spans="1:42" x14ac:dyDescent="0.2">
      <c r="A26" s="9">
        <v>25</v>
      </c>
      <c r="B26" s="10" t="s">
        <v>41</v>
      </c>
      <c r="C26" s="16" t="s">
        <v>53</v>
      </c>
      <c r="D26" s="9">
        <v>12</v>
      </c>
      <c r="E26" s="25"/>
      <c r="F26" s="29" cm="1">
        <f t="array" ref="F26">ThirdWednesdayOfThisMonth(EDATE(F25,3))</f>
        <v>46008</v>
      </c>
      <c r="G26" s="26"/>
      <c r="H26" s="26" cm="1">
        <f t="array" ref="H26">ThirdWednesdayOfThisMonth(EDATE(F26,3))</f>
        <v>46099</v>
      </c>
      <c r="I26" t="b">
        <v>0</v>
      </c>
      <c r="J26" s="5">
        <f t="shared" si="1"/>
        <v>1119</v>
      </c>
      <c r="K26" s="5" t="s">
        <v>89</v>
      </c>
      <c r="L26" s="43">
        <f t="shared" si="2"/>
        <v>3.1083333333333334</v>
      </c>
      <c r="M26" s="45">
        <v>0</v>
      </c>
      <c r="N26" s="45">
        <v>92.233900334114878</v>
      </c>
      <c r="O26" s="84">
        <f t="shared" si="5"/>
        <v>0.88231844778074942</v>
      </c>
      <c r="P26" s="5"/>
      <c r="Q26" s="84">
        <f t="shared" si="4"/>
        <v>4.1101762904853345</v>
      </c>
      <c r="T26" s="1"/>
      <c r="W26" t="str">
        <v>F12</v>
      </c>
      <c r="X26" s="77">
        <v>92.233900334114878</v>
      </c>
      <c r="Y26" s="2">
        <v>46099</v>
      </c>
      <c r="Z26" s="77">
        <v>0.88231844778074942</v>
      </c>
      <c r="AA26" s="77">
        <v>4.1101762904853345</v>
      </c>
      <c r="AB26" t="b">
        <v>0</v>
      </c>
      <c r="AD26" t="str">
        <v>F10</v>
      </c>
      <c r="AE26" s="77">
        <v>95.129966686862645</v>
      </c>
      <c r="AF26" s="2">
        <v>45917</v>
      </c>
      <c r="AG26" s="77">
        <v>0.91349758097947287</v>
      </c>
      <c r="AH26" s="77">
        <v>3.5371983768735626</v>
      </c>
      <c r="AI26" t="b">
        <v>0</v>
      </c>
      <c r="AK26" t="str">
        <v>12y</v>
      </c>
      <c r="AL26" s="77">
        <v>2.75</v>
      </c>
      <c r="AM26" s="79">
        <v>49363</v>
      </c>
      <c r="AN26" s="80">
        <v>0.72259588442768918</v>
      </c>
      <c r="AO26" s="77">
        <v>2.744529967919429</v>
      </c>
      <c r="AP26" s="77" t="b">
        <v>1</v>
      </c>
    </row>
    <row r="27" spans="1:42" x14ac:dyDescent="0.2">
      <c r="A27" s="7">
        <v>26</v>
      </c>
      <c r="B27" s="8" t="s">
        <v>41</v>
      </c>
      <c r="C27" s="17" t="s">
        <v>54</v>
      </c>
      <c r="D27" s="7">
        <v>13</v>
      </c>
      <c r="E27" s="24"/>
      <c r="F27" s="2" cm="1">
        <f t="array" ref="F27">ThirdWednesdayOfThisMonth(EDATE(F26,3))</f>
        <v>46099</v>
      </c>
      <c r="G27" s="1"/>
      <c r="H27" s="1" cm="1">
        <f t="array" ref="H27">ThirdWednesdayOfThisMonth(EDATE(F27,3))</f>
        <v>46190</v>
      </c>
      <c r="I27" t="b">
        <v>0</v>
      </c>
      <c r="J27">
        <f t="shared" si="1"/>
        <v>1210</v>
      </c>
      <c r="K27" t="s">
        <v>89</v>
      </c>
      <c r="L27" s="41">
        <f t="shared" si="2"/>
        <v>3.3611111111111112</v>
      </c>
      <c r="M27" s="44">
        <v>0</v>
      </c>
      <c r="N27" s="44">
        <v>90.049819778367237</v>
      </c>
      <c r="O27" s="77">
        <f t="shared" si="5"/>
        <v>0.86067098504306905</v>
      </c>
      <c r="Q27" s="77">
        <f t="shared" si="4"/>
        <v>4.565228436041191</v>
      </c>
      <c r="T27" s="1"/>
      <c r="W27" t="str">
        <v>F13</v>
      </c>
      <c r="X27" s="77">
        <v>90.049819778367237</v>
      </c>
      <c r="Y27" s="2">
        <v>46190</v>
      </c>
      <c r="Z27" s="77">
        <v>0.86067098504306905</v>
      </c>
      <c r="AA27" s="77">
        <v>4.565228436041191</v>
      </c>
      <c r="AB27" t="b">
        <v>0</v>
      </c>
      <c r="AD27" t="str">
        <v>F11</v>
      </c>
      <c r="AE27" s="77">
        <v>93.905969159917731</v>
      </c>
      <c r="AF27" s="2">
        <v>46008</v>
      </c>
      <c r="AG27" s="77">
        <v>0.89963921842599415</v>
      </c>
      <c r="AH27" s="77">
        <v>3.7731508252907275</v>
      </c>
      <c r="AI27" t="b">
        <v>0</v>
      </c>
      <c r="AK27" t="str">
        <v>15y</v>
      </c>
      <c r="AL27" s="77">
        <v>2.72</v>
      </c>
      <c r="AM27" s="79">
        <v>50459</v>
      </c>
      <c r="AN27" s="80">
        <v>0.66960550273740804</v>
      </c>
      <c r="AO27" s="77">
        <v>2.7098430869658685</v>
      </c>
      <c r="AP27" s="77" t="b">
        <v>1</v>
      </c>
    </row>
    <row r="28" spans="1:42" x14ac:dyDescent="0.2">
      <c r="A28" s="7">
        <v>27</v>
      </c>
      <c r="B28" s="8" t="s">
        <v>41</v>
      </c>
      <c r="C28" s="17" t="s">
        <v>55</v>
      </c>
      <c r="D28" s="7">
        <v>14</v>
      </c>
      <c r="E28" s="24"/>
      <c r="F28" s="2" cm="1">
        <f t="array" ref="F28">ThirdWednesdayOfThisMonth(EDATE(F27,3))</f>
        <v>46190</v>
      </c>
      <c r="G28" s="1"/>
      <c r="H28" s="1" cm="1">
        <f t="array" ref="H28">ThirdWednesdayOfThisMonth(EDATE(F28,3))</f>
        <v>46281</v>
      </c>
      <c r="I28" t="b">
        <v>0</v>
      </c>
      <c r="J28">
        <f t="shared" si="1"/>
        <v>1301</v>
      </c>
      <c r="K28" t="s">
        <v>89</v>
      </c>
      <c r="L28" s="41">
        <f t="shared" si="2"/>
        <v>3.6138888888888889</v>
      </c>
      <c r="M28" s="44">
        <v>0</v>
      </c>
      <c r="N28" s="44">
        <v>87.289787061587958</v>
      </c>
      <c r="O28" s="77">
        <f t="shared" si="5"/>
        <v>0.83387960589342147</v>
      </c>
      <c r="Q28" s="77">
        <f t="shared" si="4"/>
        <v>5.155382855175894</v>
      </c>
      <c r="T28" s="1"/>
      <c r="W28" t="str">
        <v>F14</v>
      </c>
      <c r="X28" s="77">
        <v>87.289787061587958</v>
      </c>
      <c r="Y28" s="2">
        <v>46281</v>
      </c>
      <c r="Z28" s="77">
        <v>0.83387960589342147</v>
      </c>
      <c r="AA28" s="77">
        <v>5.155382855175894</v>
      </c>
      <c r="AB28" t="b">
        <v>0</v>
      </c>
      <c r="AD28" t="str">
        <v>3y</v>
      </c>
      <c r="AE28" s="77">
        <v>2.98</v>
      </c>
      <c r="AF28" s="2">
        <v>46076</v>
      </c>
      <c r="AG28" s="77">
        <v>0.91585398345289526</v>
      </c>
      <c r="AH28" s="77">
        <v>2.9732896242804285</v>
      </c>
      <c r="AI28" t="b">
        <v>1</v>
      </c>
      <c r="AK28" t="str">
        <v>20y</v>
      </c>
      <c r="AL28" s="77">
        <v>2.5499999999999998</v>
      </c>
      <c r="AM28" s="79">
        <v>52285</v>
      </c>
      <c r="AN28" s="80">
        <v>0.60978424079959193</v>
      </c>
      <c r="AO28" s="77">
        <v>2.5040889919931697</v>
      </c>
      <c r="AP28" s="77" t="b">
        <v>1</v>
      </c>
    </row>
    <row r="29" spans="1:42" x14ac:dyDescent="0.2">
      <c r="A29" s="7">
        <v>28</v>
      </c>
      <c r="B29" s="8" t="s">
        <v>41</v>
      </c>
      <c r="C29" s="17" t="s">
        <v>56</v>
      </c>
      <c r="D29" s="7">
        <v>15</v>
      </c>
      <c r="E29" s="24"/>
      <c r="F29" s="2" cm="1">
        <f t="array" ref="F29">ThirdWednesdayOfThisMonth(EDATE(F28,3))</f>
        <v>46281</v>
      </c>
      <c r="G29" s="1"/>
      <c r="H29" s="1" cm="1">
        <f t="array" ref="H29">ThirdWednesdayOfThisMonth(EDATE(F29,3))</f>
        <v>46372</v>
      </c>
      <c r="I29" t="b">
        <v>0</v>
      </c>
      <c r="J29">
        <f t="shared" si="1"/>
        <v>1392</v>
      </c>
      <c r="K29" t="s">
        <v>89</v>
      </c>
      <c r="L29" s="41">
        <f t="shared" si="2"/>
        <v>3.8666666666666667</v>
      </c>
      <c r="M29" s="44">
        <v>0</v>
      </c>
      <c r="N29" s="44">
        <v>83.889739682377694</v>
      </c>
      <c r="O29" s="77">
        <f t="shared" si="5"/>
        <v>0.80125016865754173</v>
      </c>
      <c r="Q29" s="77">
        <f t="shared" si="4"/>
        <v>5.897949649590184</v>
      </c>
      <c r="T29" s="1"/>
      <c r="W29" t="str">
        <v>F15</v>
      </c>
      <c r="X29" s="77">
        <v>83.889739682377694</v>
      </c>
      <c r="Y29" s="2">
        <v>46372</v>
      </c>
      <c r="Z29" s="77">
        <v>0.80125016865754173</v>
      </c>
      <c r="AA29" s="77">
        <v>5.897949649590184</v>
      </c>
      <c r="AB29" t="b">
        <v>0</v>
      </c>
      <c r="AD29" t="str">
        <v>F12</v>
      </c>
      <c r="AE29" s="77">
        <v>92.233900334114878</v>
      </c>
      <c r="AF29" s="2">
        <v>46099</v>
      </c>
      <c r="AG29" s="77">
        <v>0.88231844778074942</v>
      </c>
      <c r="AH29" s="77">
        <v>4.1101762904853345</v>
      </c>
      <c r="AI29" t="b">
        <v>0</v>
      </c>
      <c r="AK29" t="str">
        <v>25y</v>
      </c>
      <c r="AL29" s="77">
        <v>2.36</v>
      </c>
      <c r="AM29" s="79">
        <v>54112</v>
      </c>
      <c r="AN29" s="80">
        <v>0.56981011067043208</v>
      </c>
      <c r="AO29" s="77">
        <v>2.2750518714836021</v>
      </c>
      <c r="AP29" s="77" t="b">
        <v>1</v>
      </c>
    </row>
    <row r="30" spans="1:42" ht="17" thickBot="1" x14ac:dyDescent="0.25">
      <c r="A30" s="11">
        <v>29</v>
      </c>
      <c r="B30" s="12" t="s">
        <v>41</v>
      </c>
      <c r="C30" s="18" t="s">
        <v>57</v>
      </c>
      <c r="D30" s="11">
        <v>16</v>
      </c>
      <c r="E30" s="27"/>
      <c r="F30" s="30" cm="1">
        <f t="array" ref="F30">ThirdWednesdayOfThisMonth(EDATE(F29,3))</f>
        <v>46372</v>
      </c>
      <c r="G30" s="28"/>
      <c r="H30" s="28" cm="1">
        <f t="array" ref="H30">ThirdWednesdayOfThisMonth(EDATE(F30,3))</f>
        <v>46463</v>
      </c>
      <c r="I30" t="b">
        <v>0</v>
      </c>
      <c r="J30" s="6">
        <f t="shared" si="1"/>
        <v>1483</v>
      </c>
      <c r="K30" s="6" t="s">
        <v>89</v>
      </c>
      <c r="L30" s="42">
        <f t="shared" si="2"/>
        <v>4.1194444444444445</v>
      </c>
      <c r="M30" s="46">
        <v>0</v>
      </c>
      <c r="N30" s="46">
        <v>79.785615139337096</v>
      </c>
      <c r="O30" s="82">
        <f t="shared" si="5"/>
        <v>0.76229863486486427</v>
      </c>
      <c r="P30" s="6"/>
      <c r="Q30" s="82">
        <f t="shared" si="4"/>
        <v>6.8105769262878812</v>
      </c>
      <c r="T30" s="1"/>
      <c r="W30" t="str">
        <v>F16</v>
      </c>
      <c r="X30" s="77">
        <v>79.785615139337096</v>
      </c>
      <c r="Y30" s="2">
        <v>46463</v>
      </c>
      <c r="Z30" s="77">
        <v>0.76229863486486427</v>
      </c>
      <c r="AA30" s="77">
        <v>6.8105769262878812</v>
      </c>
      <c r="AB30" t="b">
        <v>0</v>
      </c>
      <c r="AD30" t="str">
        <v>F13</v>
      </c>
      <c r="AE30" s="77">
        <v>90.049819778367237</v>
      </c>
      <c r="AF30" s="2">
        <v>46190</v>
      </c>
      <c r="AG30" s="77">
        <v>0.86067098504306905</v>
      </c>
      <c r="AH30" s="77">
        <v>4.565228436041191</v>
      </c>
      <c r="AI30" t="b">
        <v>0</v>
      </c>
      <c r="AK30" t="str">
        <v>30y</v>
      </c>
      <c r="AL30" s="77">
        <v>2.19</v>
      </c>
      <c r="AM30" s="79">
        <v>55939</v>
      </c>
      <c r="AN30" s="80">
        <v>0.54042384485365946</v>
      </c>
      <c r="AO30" s="77">
        <v>2.0723291967760904</v>
      </c>
      <c r="AP30" s="77" t="b">
        <v>1</v>
      </c>
    </row>
    <row r="31" spans="1:42" ht="17" thickTop="1" x14ac:dyDescent="0.2">
      <c r="A31" s="7">
        <v>30</v>
      </c>
      <c r="B31" s="8" t="s">
        <v>58</v>
      </c>
      <c r="C31" s="8" t="s">
        <v>59</v>
      </c>
      <c r="D31" s="7">
        <v>1</v>
      </c>
      <c r="E31" s="24"/>
      <c r="F31" s="2">
        <f>EDATE(SpotNext,12*D31)</f>
        <v>45345</v>
      </c>
      <c r="G31" s="1" t="str">
        <f t="shared" ref="G31:G60" si="6">IF(AND(WEEKDAY(F31,2)&lt;6,NOT(ISNUMBER(MATCH(F31,TARGETCalendar,0)))), "TRUE", "FALSE")</f>
        <v>TRUE</v>
      </c>
      <c r="H31" s="1">
        <f t="shared" ref="H31:H60" si="7">IF(G31="TRUE",F31,WORKDAY(F31,IF(WEEKDAY(F31)=6, 2, 1),TARGETCalendar))</f>
        <v>45345</v>
      </c>
      <c r="I31" t="b">
        <v>1</v>
      </c>
      <c r="J31">
        <f t="shared" si="1"/>
        <v>365</v>
      </c>
      <c r="K31" t="s">
        <v>90</v>
      </c>
      <c r="L31" s="41">
        <f t="shared" ref="L31:L60" si="8">YEARFRAC(SpotNext,H31,4)</f>
        <v>1</v>
      </c>
      <c r="M31" s="44">
        <v>3.25</v>
      </c>
      <c r="N31" s="47">
        <v>3.25</v>
      </c>
      <c r="O31" s="83">
        <f>100/(100+N31)</f>
        <v>0.96852300242130751</v>
      </c>
      <c r="P31" s="83">
        <f>O31</f>
        <v>0.96852300242130751</v>
      </c>
      <c r="Q31" s="77">
        <f t="shared" si="4"/>
        <v>3.2499999999999973</v>
      </c>
      <c r="S31" t="str" cm="1">
        <f t="array" ref="S31:S46">IFERROR(_xlfn._xlws.FILTER(C31:C60,I31:I60=TRUE),"0")</f>
        <v>1y</v>
      </c>
      <c r="T31" s="1" cm="1">
        <f t="array" ref="T31:T46">IFERROR(_xlfn._xlws.FILTER(H31:H60,I31:I60=TRUE),"")</f>
        <v>45345</v>
      </c>
      <c r="U31" s="41" cm="1">
        <f t="array" ref="U31:U46">IFERROR(_xlfn._xlws.FILTER(N31:N60,I31:I60=TRUE),"")</f>
        <v>3.25</v>
      </c>
      <c r="W31" t="str">
        <v>1y</v>
      </c>
      <c r="X31" s="77">
        <v>3.25</v>
      </c>
      <c r="Y31" s="2">
        <v>45345</v>
      </c>
      <c r="Z31" s="77">
        <v>0.96852300242130751</v>
      </c>
      <c r="AA31" s="77">
        <v>3.2499999999999973</v>
      </c>
      <c r="AB31" t="b">
        <v>1</v>
      </c>
      <c r="AD31" t="str">
        <v>F14</v>
      </c>
      <c r="AE31" s="77">
        <v>87.289787061587958</v>
      </c>
      <c r="AF31" s="2">
        <v>46281</v>
      </c>
      <c r="AG31" s="77">
        <v>0.83387960589342147</v>
      </c>
      <c r="AH31" s="77">
        <v>5.155382855175894</v>
      </c>
      <c r="AI31" t="b">
        <v>0</v>
      </c>
      <c r="AL31" s="77"/>
      <c r="AM31" s="79"/>
      <c r="AN31" s="80"/>
      <c r="AO31" s="77"/>
      <c r="AP31" s="77"/>
    </row>
    <row r="32" spans="1:42" x14ac:dyDescent="0.2">
      <c r="A32" s="7">
        <v>31</v>
      </c>
      <c r="B32" s="8" t="s">
        <v>58</v>
      </c>
      <c r="C32" s="8" t="s">
        <v>60</v>
      </c>
      <c r="D32" s="7">
        <v>2</v>
      </c>
      <c r="E32" s="24"/>
      <c r="F32" s="2">
        <f t="shared" ref="F31:F60" si="9">EDATE(SpotNext,12*D32)</f>
        <v>45711</v>
      </c>
      <c r="G32" s="1" t="str">
        <f t="shared" si="6"/>
        <v>FALSE</v>
      </c>
      <c r="H32" s="1">
        <f t="shared" si="7"/>
        <v>45712</v>
      </c>
      <c r="I32" t="b">
        <v>1</v>
      </c>
      <c r="J32">
        <f t="shared" si="1"/>
        <v>732</v>
      </c>
      <c r="K32" t="s">
        <v>90</v>
      </c>
      <c r="L32" s="41">
        <f t="shared" si="8"/>
        <v>2.0027777777777778</v>
      </c>
      <c r="M32" s="44">
        <v>3.18</v>
      </c>
      <c r="N32" s="44">
        <v>3.18</v>
      </c>
      <c r="O32" s="77">
        <f>(100-N32*P31)/((100+N32*(L32-L31)))</f>
        <v>0.93924985603061295</v>
      </c>
      <c r="P32" s="77">
        <f>(L32-L31)*O32+P31</f>
        <v>1.9103818858297834</v>
      </c>
      <c r="Q32" s="77">
        <f t="shared" si="4"/>
        <v>3.1788197313115107</v>
      </c>
      <c r="S32" t="str">
        <v>2y</v>
      </c>
      <c r="T32" s="1">
        <v>45712</v>
      </c>
      <c r="U32">
        <v>3.18</v>
      </c>
      <c r="W32" t="str">
        <v>2y</v>
      </c>
      <c r="X32" s="77">
        <v>3.18</v>
      </c>
      <c r="Y32" s="2">
        <v>45712</v>
      </c>
      <c r="Z32" s="77">
        <v>0.93924985603061295</v>
      </c>
      <c r="AA32" s="77">
        <v>3.1788197313115107</v>
      </c>
      <c r="AB32" t="b">
        <v>1</v>
      </c>
      <c r="AD32" t="str">
        <v>F15</v>
      </c>
      <c r="AE32" s="77">
        <v>83.889739682377694</v>
      </c>
      <c r="AF32" s="2">
        <v>46372</v>
      </c>
      <c r="AG32" s="77">
        <v>0.80125016865754173</v>
      </c>
      <c r="AH32" s="77">
        <v>5.897949649590184</v>
      </c>
      <c r="AI32" t="b">
        <v>0</v>
      </c>
      <c r="AL32" s="77"/>
      <c r="AM32" s="79"/>
      <c r="AN32" s="80"/>
      <c r="AO32" s="77"/>
      <c r="AP32" s="77"/>
    </row>
    <row r="33" spans="1:42" x14ac:dyDescent="0.2">
      <c r="A33" s="7">
        <v>32</v>
      </c>
      <c r="B33" s="8" t="s">
        <v>58</v>
      </c>
      <c r="C33" s="8" t="s">
        <v>61</v>
      </c>
      <c r="D33" s="7">
        <v>3</v>
      </c>
      <c r="E33" s="24"/>
      <c r="F33" s="2">
        <f t="shared" si="9"/>
        <v>46076</v>
      </c>
      <c r="G33" s="1" t="str">
        <f t="shared" si="6"/>
        <v>TRUE</v>
      </c>
      <c r="H33" s="1">
        <f t="shared" si="7"/>
        <v>46076</v>
      </c>
      <c r="I33" t="b">
        <v>1</v>
      </c>
      <c r="J33">
        <f t="shared" si="1"/>
        <v>1096</v>
      </c>
      <c r="K33" t="s">
        <v>90</v>
      </c>
      <c r="L33" s="41">
        <f t="shared" si="8"/>
        <v>3</v>
      </c>
      <c r="M33" s="44">
        <v>2.98</v>
      </c>
      <c r="N33" s="44">
        <v>2.98</v>
      </c>
      <c r="O33" s="77">
        <f t="shared" ref="O33:O60" si="10">(100-N33*P32)/((100+N33*(L33-L32)))</f>
        <v>0.91585398345289526</v>
      </c>
      <c r="P33" s="77">
        <f t="shared" ref="P33:P60" si="11">(L33-L32)*O33+P32</f>
        <v>2.823691830439754</v>
      </c>
      <c r="Q33" s="77">
        <f t="shared" si="4"/>
        <v>2.9732896242804285</v>
      </c>
      <c r="S33" t="str">
        <v>3y</v>
      </c>
      <c r="T33" s="1">
        <v>46076</v>
      </c>
      <c r="U33">
        <v>2.98</v>
      </c>
      <c r="W33" t="str">
        <v>3y</v>
      </c>
      <c r="X33" s="77">
        <v>2.98</v>
      </c>
      <c r="Y33" s="2">
        <v>46076</v>
      </c>
      <c r="Z33" s="77">
        <v>0.91585398345289526</v>
      </c>
      <c r="AA33" s="77">
        <v>2.9732896242804285</v>
      </c>
      <c r="AB33" t="b">
        <v>1</v>
      </c>
      <c r="AD33" t="str">
        <v>4y</v>
      </c>
      <c r="AE33" s="77">
        <v>2.86</v>
      </c>
      <c r="AF33" s="2">
        <v>46441</v>
      </c>
      <c r="AG33" s="77">
        <v>0.89368307762922716</v>
      </c>
      <c r="AH33" s="77">
        <v>2.8499574589608834</v>
      </c>
      <c r="AI33" t="b">
        <v>1</v>
      </c>
      <c r="AL33" s="77"/>
      <c r="AM33" s="79"/>
      <c r="AN33" s="80"/>
      <c r="AO33" s="77"/>
      <c r="AP33" s="77"/>
    </row>
    <row r="34" spans="1:42" x14ac:dyDescent="0.2">
      <c r="A34" s="7">
        <v>33</v>
      </c>
      <c r="B34" s="8" t="s">
        <v>58</v>
      </c>
      <c r="C34" s="8" t="s">
        <v>62</v>
      </c>
      <c r="D34" s="7">
        <v>4</v>
      </c>
      <c r="E34" s="24"/>
      <c r="F34" s="2">
        <f t="shared" si="9"/>
        <v>46441</v>
      </c>
      <c r="G34" s="1" t="str">
        <f t="shared" si="6"/>
        <v>TRUE</v>
      </c>
      <c r="H34" s="1">
        <f t="shared" si="7"/>
        <v>46441</v>
      </c>
      <c r="I34" t="b">
        <v>1</v>
      </c>
      <c r="J34">
        <f t="shared" ref="J34:J60" si="12">H34-SpotNext</f>
        <v>1461</v>
      </c>
      <c r="K34" t="s">
        <v>90</v>
      </c>
      <c r="L34" s="41">
        <f t="shared" si="8"/>
        <v>4</v>
      </c>
      <c r="M34" s="44">
        <v>2.86</v>
      </c>
      <c r="N34" s="44">
        <v>2.86</v>
      </c>
      <c r="O34" s="77">
        <f t="shared" si="10"/>
        <v>0.89368307762922716</v>
      </c>
      <c r="P34" s="77">
        <f t="shared" si="11"/>
        <v>3.7173749080689813</v>
      </c>
      <c r="Q34" s="77">
        <f t="shared" si="4"/>
        <v>2.8499574589608834</v>
      </c>
      <c r="S34" t="str">
        <v>4y</v>
      </c>
      <c r="T34" s="1">
        <v>46441</v>
      </c>
      <c r="U34">
        <v>2.86</v>
      </c>
      <c r="W34" t="str">
        <v>4y</v>
      </c>
      <c r="X34" s="77">
        <v>2.86</v>
      </c>
      <c r="Y34" s="2">
        <v>46441</v>
      </c>
      <c r="Z34" s="77">
        <v>0.89368307762922716</v>
      </c>
      <c r="AA34" s="77">
        <v>2.8499574589608834</v>
      </c>
      <c r="AB34" t="b">
        <v>1</v>
      </c>
      <c r="AD34" t="str">
        <v>F16</v>
      </c>
      <c r="AE34" s="77">
        <v>79.785615139337096</v>
      </c>
      <c r="AF34" s="2">
        <v>46463</v>
      </c>
      <c r="AG34" s="77">
        <v>0.76229863486486427</v>
      </c>
      <c r="AH34" s="77">
        <v>6.8105769262878812</v>
      </c>
      <c r="AI34" t="b">
        <v>0</v>
      </c>
      <c r="AL34" s="77"/>
      <c r="AM34" s="79"/>
      <c r="AN34" s="80"/>
      <c r="AO34" s="77"/>
      <c r="AP34" s="77"/>
    </row>
    <row r="35" spans="1:42" x14ac:dyDescent="0.2">
      <c r="A35" s="9">
        <v>34</v>
      </c>
      <c r="B35" s="10" t="s">
        <v>58</v>
      </c>
      <c r="C35" s="10" t="s">
        <v>63</v>
      </c>
      <c r="D35" s="9">
        <v>5</v>
      </c>
      <c r="E35" s="25"/>
      <c r="F35" s="29">
        <f t="shared" si="9"/>
        <v>46806</v>
      </c>
      <c r="G35" s="26" t="str">
        <f t="shared" si="6"/>
        <v>TRUE</v>
      </c>
      <c r="H35" s="26">
        <f t="shared" si="7"/>
        <v>46806</v>
      </c>
      <c r="I35" t="b">
        <v>1</v>
      </c>
      <c r="J35" s="5">
        <f t="shared" si="12"/>
        <v>1826</v>
      </c>
      <c r="K35" s="5" t="s">
        <v>90</v>
      </c>
      <c r="L35" s="43">
        <f t="shared" si="8"/>
        <v>5</v>
      </c>
      <c r="M35" s="45">
        <v>2.8</v>
      </c>
      <c r="N35" s="45">
        <v>2.8</v>
      </c>
      <c r="O35" s="84">
        <f t="shared" si="10"/>
        <v>0.87151118927438576</v>
      </c>
      <c r="P35" s="84">
        <f t="shared" si="11"/>
        <v>4.5888860973433667</v>
      </c>
      <c r="Q35" s="84">
        <f t="shared" si="4"/>
        <v>2.7887078313775016</v>
      </c>
      <c r="S35" t="str">
        <v>5y</v>
      </c>
      <c r="T35" s="1">
        <v>46806</v>
      </c>
      <c r="U35">
        <v>2.8</v>
      </c>
      <c r="W35" t="str">
        <v>5y</v>
      </c>
      <c r="X35" s="77">
        <v>2.8</v>
      </c>
      <c r="Y35" s="2">
        <v>46806</v>
      </c>
      <c r="Z35" s="77">
        <v>0.87151118927438576</v>
      </c>
      <c r="AA35" s="77">
        <v>2.7887078313775016</v>
      </c>
      <c r="AB35" t="b">
        <v>1</v>
      </c>
      <c r="AD35" t="str">
        <v>5y</v>
      </c>
      <c r="AE35" s="77">
        <v>2.8</v>
      </c>
      <c r="AF35" s="2">
        <v>46806</v>
      </c>
      <c r="AG35" s="77">
        <v>0.87151118927438576</v>
      </c>
      <c r="AH35" s="77">
        <v>2.7887078313775016</v>
      </c>
      <c r="AI35" t="b">
        <v>1</v>
      </c>
      <c r="AL35" s="77"/>
      <c r="AM35" s="79"/>
      <c r="AN35" s="80"/>
      <c r="AO35" s="77"/>
      <c r="AP35" s="77"/>
    </row>
    <row r="36" spans="1:42" x14ac:dyDescent="0.2">
      <c r="A36" s="7">
        <v>35</v>
      </c>
      <c r="B36" s="8" t="s">
        <v>58</v>
      </c>
      <c r="C36" s="8" t="s">
        <v>64</v>
      </c>
      <c r="D36" s="7">
        <v>6</v>
      </c>
      <c r="E36" s="24"/>
      <c r="F36" s="2">
        <f t="shared" si="9"/>
        <v>47172</v>
      </c>
      <c r="G36" s="1" t="str">
        <f t="shared" si="6"/>
        <v>TRUE</v>
      </c>
      <c r="H36" s="1">
        <f t="shared" si="7"/>
        <v>47172</v>
      </c>
      <c r="I36" t="b">
        <v>1</v>
      </c>
      <c r="J36">
        <f t="shared" si="12"/>
        <v>2192</v>
      </c>
      <c r="K36" t="s">
        <v>90</v>
      </c>
      <c r="L36" s="41">
        <f t="shared" si="8"/>
        <v>6</v>
      </c>
      <c r="M36" s="44">
        <v>2.76</v>
      </c>
      <c r="N36" s="44">
        <v>2.76</v>
      </c>
      <c r="O36" s="77">
        <f t="shared" si="10"/>
        <v>0.84988978562993678</v>
      </c>
      <c r="P36" s="77">
        <f t="shared" si="11"/>
        <v>5.4387758829733031</v>
      </c>
      <c r="Q36" s="77">
        <f t="shared" si="4"/>
        <v>2.7478867546065766</v>
      </c>
      <c r="S36" t="str">
        <v>6y</v>
      </c>
      <c r="T36" s="1">
        <v>47172</v>
      </c>
      <c r="U36">
        <v>2.76</v>
      </c>
      <c r="W36" t="str">
        <v>6y</v>
      </c>
      <c r="X36" s="77">
        <v>2.76</v>
      </c>
      <c r="Y36" s="2">
        <v>47172</v>
      </c>
      <c r="Z36" s="77">
        <v>0.84988978562993678</v>
      </c>
      <c r="AA36" s="77">
        <v>2.7478867546065766</v>
      </c>
      <c r="AB36" t="b">
        <v>1</v>
      </c>
      <c r="AD36" t="str">
        <v>6y</v>
      </c>
      <c r="AE36" s="77">
        <v>2.76</v>
      </c>
      <c r="AF36" s="2">
        <v>47172</v>
      </c>
      <c r="AG36" s="77">
        <v>0.84988978562993678</v>
      </c>
      <c r="AH36" s="77">
        <v>2.7478867546065766</v>
      </c>
      <c r="AI36" t="b">
        <v>1</v>
      </c>
      <c r="AL36" s="77"/>
      <c r="AM36" s="79"/>
      <c r="AN36" s="80"/>
      <c r="AO36" s="77"/>
      <c r="AP36" s="77"/>
    </row>
    <row r="37" spans="1:42" x14ac:dyDescent="0.2">
      <c r="A37" s="7">
        <v>36</v>
      </c>
      <c r="B37" s="8" t="s">
        <v>58</v>
      </c>
      <c r="C37" s="8" t="s">
        <v>65</v>
      </c>
      <c r="D37" s="7">
        <v>7</v>
      </c>
      <c r="E37" s="24"/>
      <c r="F37" s="2">
        <f t="shared" si="9"/>
        <v>47537</v>
      </c>
      <c r="G37" s="1" t="str">
        <f t="shared" si="6"/>
        <v>FALSE</v>
      </c>
      <c r="H37" s="1">
        <f t="shared" si="7"/>
        <v>47539</v>
      </c>
      <c r="I37" t="b">
        <v>1</v>
      </c>
      <c r="J37">
        <f t="shared" si="12"/>
        <v>2559</v>
      </c>
      <c r="K37" t="s">
        <v>90</v>
      </c>
      <c r="L37" s="41">
        <f t="shared" si="8"/>
        <v>7.0055555555555555</v>
      </c>
      <c r="M37" s="44">
        <v>2.74</v>
      </c>
      <c r="N37" s="44">
        <v>2.74</v>
      </c>
      <c r="O37" s="77">
        <f t="shared" si="10"/>
        <v>0.82815989533473655</v>
      </c>
      <c r="P37" s="77">
        <f t="shared" si="11"/>
        <v>6.2715366666154546</v>
      </c>
      <c r="Q37" s="77">
        <f t="shared" si="4"/>
        <v>2.7279674458864811</v>
      </c>
      <c r="S37" t="str">
        <v>7y</v>
      </c>
      <c r="T37" s="1">
        <v>47539</v>
      </c>
      <c r="U37">
        <v>2.74</v>
      </c>
      <c r="W37" t="str">
        <v>7y</v>
      </c>
      <c r="X37" s="77">
        <v>2.74</v>
      </c>
      <c r="Y37" s="2">
        <v>47539</v>
      </c>
      <c r="Z37" s="77">
        <v>0.82815989533473655</v>
      </c>
      <c r="AA37" s="77">
        <v>2.7279674458864811</v>
      </c>
      <c r="AB37" t="b">
        <v>1</v>
      </c>
      <c r="AD37" t="str">
        <v>7y</v>
      </c>
      <c r="AE37" s="77">
        <v>2.74</v>
      </c>
      <c r="AF37" s="2">
        <v>47539</v>
      </c>
      <c r="AG37" s="77">
        <v>0.82815989533473655</v>
      </c>
      <c r="AH37" s="77">
        <v>2.7279674458864811</v>
      </c>
      <c r="AI37" t="b">
        <v>1</v>
      </c>
      <c r="AL37" s="77"/>
      <c r="AM37" s="79"/>
      <c r="AN37" s="80"/>
      <c r="AO37" s="77"/>
      <c r="AP37" s="77"/>
    </row>
    <row r="38" spans="1:42" x14ac:dyDescent="0.2">
      <c r="A38" s="7">
        <v>37</v>
      </c>
      <c r="B38" s="8" t="s">
        <v>58</v>
      </c>
      <c r="C38" s="8" t="s">
        <v>66</v>
      </c>
      <c r="D38" s="7">
        <v>8</v>
      </c>
      <c r="E38" s="24"/>
      <c r="F38" s="2">
        <f t="shared" si="9"/>
        <v>47902</v>
      </c>
      <c r="G38" s="1" t="str">
        <f t="shared" si="6"/>
        <v>FALSE</v>
      </c>
      <c r="H38" s="1">
        <f t="shared" si="7"/>
        <v>47903</v>
      </c>
      <c r="I38" t="b">
        <v>1</v>
      </c>
      <c r="J38">
        <f t="shared" si="12"/>
        <v>2923</v>
      </c>
      <c r="K38" t="s">
        <v>90</v>
      </c>
      <c r="L38" s="41">
        <f t="shared" si="8"/>
        <v>8.0027777777777782</v>
      </c>
      <c r="M38" s="44">
        <v>2.73</v>
      </c>
      <c r="N38" s="44">
        <v>2.73</v>
      </c>
      <c r="O38" s="77">
        <f t="shared" si="10"/>
        <v>0.80682199260440368</v>
      </c>
      <c r="P38" s="77">
        <f t="shared" si="11"/>
        <v>7.0761174870181796</v>
      </c>
      <c r="Q38" s="77">
        <f t="shared" si="4"/>
        <v>2.7185166882371936</v>
      </c>
      <c r="S38" t="str">
        <v>8y</v>
      </c>
      <c r="T38" s="1">
        <v>47903</v>
      </c>
      <c r="U38">
        <v>2.73</v>
      </c>
      <c r="W38" t="str">
        <v>8y</v>
      </c>
      <c r="X38" s="77">
        <v>2.73</v>
      </c>
      <c r="Y38" s="2">
        <v>47903</v>
      </c>
      <c r="Z38" s="77">
        <v>0.80682199260440368</v>
      </c>
      <c r="AA38" s="77">
        <v>2.7185166882371936</v>
      </c>
      <c r="AB38" t="b">
        <v>1</v>
      </c>
      <c r="AD38" t="str">
        <v>8y</v>
      </c>
      <c r="AE38" s="77">
        <v>2.73</v>
      </c>
      <c r="AF38" s="2">
        <v>47903</v>
      </c>
      <c r="AG38" s="77">
        <v>0.80682199260440368</v>
      </c>
      <c r="AH38" s="77">
        <v>2.7185166882371936</v>
      </c>
      <c r="AI38" t="b">
        <v>1</v>
      </c>
      <c r="AL38" s="77"/>
      <c r="AM38" s="79"/>
      <c r="AN38" s="80"/>
      <c r="AO38" s="77"/>
      <c r="AP38" s="77"/>
    </row>
    <row r="39" spans="1:42" x14ac:dyDescent="0.2">
      <c r="A39" s="7">
        <v>38</v>
      </c>
      <c r="B39" s="8" t="s">
        <v>58</v>
      </c>
      <c r="C39" s="8" t="s">
        <v>67</v>
      </c>
      <c r="D39" s="7">
        <v>9</v>
      </c>
      <c r="E39" s="24"/>
      <c r="F39" s="2">
        <f t="shared" si="9"/>
        <v>48267</v>
      </c>
      <c r="G39" s="1" t="str">
        <f t="shared" si="6"/>
        <v>TRUE</v>
      </c>
      <c r="H39" s="1">
        <f t="shared" si="7"/>
        <v>48267</v>
      </c>
      <c r="I39" t="b">
        <v>1</v>
      </c>
      <c r="J39">
        <f t="shared" si="12"/>
        <v>3287</v>
      </c>
      <c r="K39" t="s">
        <v>90</v>
      </c>
      <c r="L39" s="41">
        <f t="shared" si="8"/>
        <v>9</v>
      </c>
      <c r="M39" s="44">
        <v>2.74</v>
      </c>
      <c r="N39" s="44">
        <v>2.74</v>
      </c>
      <c r="O39" s="77">
        <f t="shared" si="10"/>
        <v>0.78467403471709574</v>
      </c>
      <c r="P39" s="77">
        <f t="shared" si="11"/>
        <v>7.8586118716388382</v>
      </c>
      <c r="Q39" s="77">
        <f t="shared" si="4"/>
        <v>2.7309231892861163</v>
      </c>
      <c r="S39" t="str">
        <v>9y</v>
      </c>
      <c r="T39" s="1">
        <v>48267</v>
      </c>
      <c r="U39">
        <v>2.74</v>
      </c>
      <c r="W39" t="str">
        <v>9y</v>
      </c>
      <c r="X39" s="77">
        <v>2.74</v>
      </c>
      <c r="Y39" s="2">
        <v>48267</v>
      </c>
      <c r="Z39" s="77">
        <v>0.78467403471709574</v>
      </c>
      <c r="AA39" s="77">
        <v>2.7309231892861163</v>
      </c>
      <c r="AB39" t="b">
        <v>1</v>
      </c>
      <c r="AD39" t="str">
        <v>9y</v>
      </c>
      <c r="AE39" s="77">
        <v>2.74</v>
      </c>
      <c r="AF39" s="2">
        <v>48267</v>
      </c>
      <c r="AG39" s="77">
        <v>0.78467403471709574</v>
      </c>
      <c r="AH39" s="77">
        <v>2.7309231892861163</v>
      </c>
      <c r="AI39" t="b">
        <v>1</v>
      </c>
      <c r="AL39" s="77"/>
      <c r="AM39" s="79"/>
      <c r="AN39" s="80"/>
      <c r="AO39" s="77"/>
      <c r="AP39" s="77"/>
    </row>
    <row r="40" spans="1:42" x14ac:dyDescent="0.2">
      <c r="A40" s="9">
        <v>39</v>
      </c>
      <c r="B40" s="10" t="s">
        <v>58</v>
      </c>
      <c r="C40" s="10" t="s">
        <v>68</v>
      </c>
      <c r="D40" s="9">
        <v>10</v>
      </c>
      <c r="E40" s="25"/>
      <c r="F40" s="29">
        <f t="shared" si="9"/>
        <v>48633</v>
      </c>
      <c r="G40" s="26" t="str">
        <f t="shared" si="6"/>
        <v>TRUE</v>
      </c>
      <c r="H40" s="26">
        <f t="shared" si="7"/>
        <v>48633</v>
      </c>
      <c r="I40" t="b">
        <v>1</v>
      </c>
      <c r="J40" s="5">
        <f t="shared" si="12"/>
        <v>3653</v>
      </c>
      <c r="K40" s="5" t="s">
        <v>90</v>
      </c>
      <c r="L40" s="43">
        <f t="shared" si="8"/>
        <v>10</v>
      </c>
      <c r="M40" s="45">
        <v>2.74</v>
      </c>
      <c r="N40" s="45">
        <v>2.74</v>
      </c>
      <c r="O40" s="84">
        <f t="shared" si="10"/>
        <v>0.76374735713168762</v>
      </c>
      <c r="P40" s="84">
        <f t="shared" si="11"/>
        <v>8.6223592287705255</v>
      </c>
      <c r="Q40" s="84">
        <f t="shared" si="4"/>
        <v>2.7318308342702657</v>
      </c>
      <c r="S40" t="str">
        <v>10y</v>
      </c>
      <c r="T40" s="1">
        <v>48633</v>
      </c>
      <c r="U40">
        <v>2.74</v>
      </c>
      <c r="W40" t="str">
        <v>10y</v>
      </c>
      <c r="X40" s="77">
        <v>2.74</v>
      </c>
      <c r="Y40" s="2">
        <v>48633</v>
      </c>
      <c r="Z40" s="77">
        <v>0.76374735713168762</v>
      </c>
      <c r="AA40" s="77">
        <v>2.7318308342702657</v>
      </c>
      <c r="AB40" t="b">
        <v>1</v>
      </c>
      <c r="AD40" t="str">
        <v>10y</v>
      </c>
      <c r="AE40" s="77">
        <v>2.74</v>
      </c>
      <c r="AF40" s="2">
        <v>48633</v>
      </c>
      <c r="AG40" s="77">
        <v>0.76374735713168762</v>
      </c>
      <c r="AH40" s="77">
        <v>2.7318308342702657</v>
      </c>
      <c r="AI40" t="b">
        <v>1</v>
      </c>
      <c r="AL40" s="77"/>
      <c r="AM40" s="79"/>
      <c r="AN40" s="80"/>
      <c r="AO40" s="77"/>
      <c r="AP40" s="77"/>
    </row>
    <row r="41" spans="1:42" x14ac:dyDescent="0.2">
      <c r="A41" s="7">
        <v>40</v>
      </c>
      <c r="B41" s="8" t="s">
        <v>58</v>
      </c>
      <c r="C41" s="8" t="s">
        <v>69</v>
      </c>
      <c r="D41" s="7">
        <v>11</v>
      </c>
      <c r="E41" s="24"/>
      <c r="F41" s="2">
        <f t="shared" si="9"/>
        <v>48998</v>
      </c>
      <c r="G41" s="1" t="str">
        <f t="shared" si="6"/>
        <v>TRUE</v>
      </c>
      <c r="H41" s="1">
        <f t="shared" si="7"/>
        <v>48998</v>
      </c>
      <c r="I41" t="b">
        <v>1</v>
      </c>
      <c r="J41">
        <f t="shared" si="12"/>
        <v>4018</v>
      </c>
      <c r="K41" t="s">
        <v>90</v>
      </c>
      <c r="L41" s="41">
        <f t="shared" si="8"/>
        <v>11</v>
      </c>
      <c r="M41" s="44">
        <v>2.75</v>
      </c>
      <c r="N41" s="44">
        <v>2.75</v>
      </c>
      <c r="O41" s="77">
        <f t="shared" si="10"/>
        <v>0.74246727124945067</v>
      </c>
      <c r="P41" s="77">
        <f t="shared" si="11"/>
        <v>9.3648265000199764</v>
      </c>
      <c r="Q41" s="77">
        <f t="shared" si="4"/>
        <v>2.7440327067158599</v>
      </c>
      <c r="S41" t="str">
        <v>11y</v>
      </c>
      <c r="T41" s="1">
        <v>48998</v>
      </c>
      <c r="U41">
        <v>2.75</v>
      </c>
      <c r="W41" t="str">
        <v>11y</v>
      </c>
      <c r="X41" s="77">
        <v>2.75</v>
      </c>
      <c r="Y41" s="2">
        <v>48998</v>
      </c>
      <c r="Z41" s="77">
        <v>0.74246727124945067</v>
      </c>
      <c r="AA41" s="77">
        <v>2.7440327067158599</v>
      </c>
      <c r="AB41" t="b">
        <v>1</v>
      </c>
      <c r="AD41" t="str">
        <v>11y</v>
      </c>
      <c r="AE41" s="77">
        <v>2.75</v>
      </c>
      <c r="AF41" s="2">
        <v>48998</v>
      </c>
      <c r="AG41" s="77">
        <v>0.74246727124945067</v>
      </c>
      <c r="AH41" s="77">
        <v>2.7440327067158599</v>
      </c>
      <c r="AI41" t="b">
        <v>1</v>
      </c>
      <c r="AL41" s="77"/>
      <c r="AM41" s="79"/>
      <c r="AN41" s="80"/>
      <c r="AO41" s="77"/>
      <c r="AP41" s="77"/>
    </row>
    <row r="42" spans="1:42" x14ac:dyDescent="0.2">
      <c r="A42" s="7">
        <v>41</v>
      </c>
      <c r="B42" s="8" t="s">
        <v>58</v>
      </c>
      <c r="C42" s="8" t="s">
        <v>70</v>
      </c>
      <c r="D42" s="7">
        <v>12</v>
      </c>
      <c r="E42" s="24"/>
      <c r="F42" s="2">
        <f t="shared" si="9"/>
        <v>49363</v>
      </c>
      <c r="G42" s="1" t="str">
        <f t="shared" si="6"/>
        <v>TRUE</v>
      </c>
      <c r="H42" s="1">
        <f t="shared" si="7"/>
        <v>49363</v>
      </c>
      <c r="I42" t="b">
        <v>1</v>
      </c>
      <c r="J42">
        <f t="shared" si="12"/>
        <v>4383</v>
      </c>
      <c r="K42" t="s">
        <v>90</v>
      </c>
      <c r="L42" s="41">
        <f t="shared" si="8"/>
        <v>12</v>
      </c>
      <c r="M42" s="44">
        <v>2.75</v>
      </c>
      <c r="N42" s="44">
        <v>2.75</v>
      </c>
      <c r="O42" s="77">
        <f t="shared" si="10"/>
        <v>0.72259588442768918</v>
      </c>
      <c r="P42" s="77">
        <f t="shared" si="11"/>
        <v>10.087422384447665</v>
      </c>
      <c r="Q42" s="77">
        <f t="shared" si="4"/>
        <v>2.744529967919429</v>
      </c>
      <c r="S42" t="str">
        <v>12y</v>
      </c>
      <c r="T42" s="1">
        <v>49363</v>
      </c>
      <c r="U42">
        <v>2.75</v>
      </c>
      <c r="W42" t="str">
        <v>12y</v>
      </c>
      <c r="X42" s="77">
        <v>2.75</v>
      </c>
      <c r="Y42" s="2">
        <v>49363</v>
      </c>
      <c r="Z42" s="77">
        <v>0.72259588442768918</v>
      </c>
      <c r="AA42" s="77">
        <v>2.744529967919429</v>
      </c>
      <c r="AB42" t="b">
        <v>1</v>
      </c>
      <c r="AD42" t="str">
        <v>12y</v>
      </c>
      <c r="AE42" s="77">
        <v>2.75</v>
      </c>
      <c r="AF42" s="2">
        <v>49363</v>
      </c>
      <c r="AG42" s="77">
        <v>0.72259588442768918</v>
      </c>
      <c r="AH42" s="77">
        <v>2.744529967919429</v>
      </c>
      <c r="AI42" t="b">
        <v>1</v>
      </c>
      <c r="AL42" s="77"/>
      <c r="AM42" s="79"/>
      <c r="AN42" s="80"/>
      <c r="AO42" s="77"/>
      <c r="AP42" s="77"/>
    </row>
    <row r="43" spans="1:42" x14ac:dyDescent="0.2">
      <c r="A43" s="7">
        <v>42</v>
      </c>
      <c r="B43" s="8" t="s">
        <v>58</v>
      </c>
      <c r="C43" s="8" t="s">
        <v>71</v>
      </c>
      <c r="D43" s="7">
        <v>13</v>
      </c>
      <c r="E43" s="24"/>
      <c r="F43" s="2">
        <f t="shared" si="9"/>
        <v>49728</v>
      </c>
      <c r="G43" s="1" t="str">
        <f t="shared" si="6"/>
        <v>FALSE</v>
      </c>
      <c r="H43" s="1">
        <f t="shared" si="7"/>
        <v>49730</v>
      </c>
      <c r="I43" t="b">
        <v>0</v>
      </c>
      <c r="J43">
        <f t="shared" si="12"/>
        <v>4750</v>
      </c>
      <c r="K43" t="s">
        <v>90</v>
      </c>
      <c r="L43" s="41">
        <f t="shared" si="8"/>
        <v>13.005555555555556</v>
      </c>
      <c r="M43" s="44">
        <v>2.75</v>
      </c>
      <c r="N43" s="44">
        <v>2.744748603488167</v>
      </c>
      <c r="O43" s="77">
        <f t="shared" si="10"/>
        <v>0.70370342023207111</v>
      </c>
      <c r="P43" s="77">
        <f t="shared" si="11"/>
        <v>10.795035268125471</v>
      </c>
      <c r="Q43" s="77">
        <f t="shared" si="4"/>
        <v>2.7387416477223647</v>
      </c>
      <c r="S43" t="str">
        <v>15y</v>
      </c>
      <c r="T43" s="1">
        <v>50459</v>
      </c>
      <c r="U43">
        <v>2.72</v>
      </c>
      <c r="W43" t="str">
        <v>13y</v>
      </c>
      <c r="X43" s="77">
        <v>2.744748603488167</v>
      </c>
      <c r="Y43" s="2">
        <v>49730</v>
      </c>
      <c r="Z43" s="77">
        <v>0.70370342023207111</v>
      </c>
      <c r="AA43" s="77">
        <v>2.7387416477223647</v>
      </c>
      <c r="AB43" t="b">
        <v>0</v>
      </c>
      <c r="AD43" t="str">
        <v>13y</v>
      </c>
      <c r="AE43" s="77">
        <v>2.744748603488167</v>
      </c>
      <c r="AF43" s="2">
        <v>49730</v>
      </c>
      <c r="AG43" s="77">
        <v>0.70370342023207111</v>
      </c>
      <c r="AH43" s="77">
        <v>2.7387416477223647</v>
      </c>
      <c r="AI43" t="b">
        <v>0</v>
      </c>
      <c r="AL43" s="77"/>
      <c r="AM43" s="79"/>
      <c r="AN43" s="80"/>
      <c r="AO43" s="77"/>
      <c r="AP43" s="77"/>
    </row>
    <row r="44" spans="1:42" x14ac:dyDescent="0.2">
      <c r="A44" s="7">
        <v>43</v>
      </c>
      <c r="B44" s="8" t="s">
        <v>58</v>
      </c>
      <c r="C44" s="8" t="s">
        <v>72</v>
      </c>
      <c r="D44" s="7">
        <v>14</v>
      </c>
      <c r="E44" s="24"/>
      <c r="F44" s="2">
        <f t="shared" si="9"/>
        <v>50094</v>
      </c>
      <c r="G44" s="1" t="str">
        <f t="shared" si="6"/>
        <v>TRUE</v>
      </c>
      <c r="H44" s="1">
        <f t="shared" si="7"/>
        <v>50094</v>
      </c>
      <c r="I44" t="b">
        <v>0</v>
      </c>
      <c r="J44">
        <f t="shared" si="12"/>
        <v>5114</v>
      </c>
      <c r="K44" t="s">
        <v>90</v>
      </c>
      <c r="L44" s="41">
        <f t="shared" si="8"/>
        <v>14</v>
      </c>
      <c r="M44" s="44">
        <v>2.74</v>
      </c>
      <c r="N44" s="44">
        <v>2.7356114483669929</v>
      </c>
      <c r="O44" s="77">
        <f t="shared" si="10"/>
        <v>0.68602700729582256</v>
      </c>
      <c r="P44" s="77">
        <f t="shared" si="11"/>
        <v>11.477251014269649</v>
      </c>
      <c r="Q44" s="77">
        <f t="shared" si="4"/>
        <v>2.7282555525293573</v>
      </c>
      <c r="S44" t="str">
        <v>20y</v>
      </c>
      <c r="T44" s="1">
        <v>52285</v>
      </c>
      <c r="U44">
        <v>2.5499999999999998</v>
      </c>
      <c r="W44" t="str">
        <v>14y</v>
      </c>
      <c r="X44" s="77">
        <v>2.7356114483669929</v>
      </c>
      <c r="Y44" s="2">
        <v>50094</v>
      </c>
      <c r="Z44" s="77">
        <v>0.68602700729582256</v>
      </c>
      <c r="AA44" s="77">
        <v>2.7282555525293573</v>
      </c>
      <c r="AB44" t="b">
        <v>0</v>
      </c>
      <c r="AD44" t="str">
        <v>14y</v>
      </c>
      <c r="AE44" s="77">
        <v>2.7356114483669929</v>
      </c>
      <c r="AF44" s="2">
        <v>50094</v>
      </c>
      <c r="AG44" s="77">
        <v>0.68602700729582256</v>
      </c>
      <c r="AH44" s="77">
        <v>2.7282555525293573</v>
      </c>
      <c r="AI44" t="b">
        <v>0</v>
      </c>
      <c r="AL44" s="77"/>
      <c r="AM44" s="79"/>
      <c r="AN44" s="80"/>
      <c r="AO44" s="77"/>
      <c r="AP44" s="77"/>
    </row>
    <row r="45" spans="1:42" x14ac:dyDescent="0.2">
      <c r="A45" s="9">
        <v>44</v>
      </c>
      <c r="B45" s="10" t="s">
        <v>58</v>
      </c>
      <c r="C45" s="10" t="s">
        <v>73</v>
      </c>
      <c r="D45" s="9">
        <v>15</v>
      </c>
      <c r="E45" s="25"/>
      <c r="F45" s="29">
        <f t="shared" si="9"/>
        <v>50459</v>
      </c>
      <c r="G45" s="26" t="str">
        <f t="shared" si="6"/>
        <v>TRUE</v>
      </c>
      <c r="H45" s="26">
        <f t="shared" si="7"/>
        <v>50459</v>
      </c>
      <c r="I45" t="b">
        <v>1</v>
      </c>
      <c r="J45" s="5">
        <f t="shared" si="12"/>
        <v>5479</v>
      </c>
      <c r="K45" s="5" t="s">
        <v>90</v>
      </c>
      <c r="L45" s="43">
        <f t="shared" si="8"/>
        <v>15</v>
      </c>
      <c r="M45" s="45">
        <v>2.72</v>
      </c>
      <c r="N45" s="45">
        <v>2.72</v>
      </c>
      <c r="O45" s="84">
        <f t="shared" si="10"/>
        <v>0.66960550273740804</v>
      </c>
      <c r="P45" s="84">
        <f t="shared" si="11"/>
        <v>12.146856517007057</v>
      </c>
      <c r="Q45" s="84">
        <f t="shared" si="4"/>
        <v>2.7098430869658685</v>
      </c>
      <c r="S45" t="str">
        <v>25y</v>
      </c>
      <c r="T45" s="1">
        <v>54112</v>
      </c>
      <c r="U45">
        <v>2.36</v>
      </c>
      <c r="W45" t="str">
        <v>15y</v>
      </c>
      <c r="X45" s="77">
        <v>2.72</v>
      </c>
      <c r="Y45" s="2">
        <v>50459</v>
      </c>
      <c r="Z45" s="77">
        <v>0.66960550273740804</v>
      </c>
      <c r="AA45" s="77">
        <v>2.7098430869658685</v>
      </c>
      <c r="AB45" t="b">
        <v>1</v>
      </c>
      <c r="AD45" t="str">
        <v>15y</v>
      </c>
      <c r="AE45" s="77">
        <v>2.72</v>
      </c>
      <c r="AF45" s="2">
        <v>50459</v>
      </c>
      <c r="AG45" s="77">
        <v>0.66960550273740804</v>
      </c>
      <c r="AH45" s="77">
        <v>2.7098430869658685</v>
      </c>
      <c r="AI45" t="b">
        <v>1</v>
      </c>
      <c r="AL45" s="77"/>
      <c r="AM45" s="79"/>
      <c r="AN45" s="80"/>
      <c r="AO45" s="77"/>
      <c r="AP45" s="77"/>
    </row>
    <row r="46" spans="1:42" x14ac:dyDescent="0.2">
      <c r="A46" s="7">
        <v>45</v>
      </c>
      <c r="B46" s="8" t="s">
        <v>58</v>
      </c>
      <c r="C46" s="8" t="s">
        <v>74</v>
      </c>
      <c r="D46" s="7">
        <v>16</v>
      </c>
      <c r="E46" s="24"/>
      <c r="F46" s="2">
        <f t="shared" si="9"/>
        <v>50824</v>
      </c>
      <c r="G46" s="1" t="str">
        <f t="shared" si="6"/>
        <v>TRUE</v>
      </c>
      <c r="H46" s="1">
        <f t="shared" si="7"/>
        <v>50824</v>
      </c>
      <c r="I46" t="b">
        <v>0</v>
      </c>
      <c r="J46">
        <f t="shared" si="12"/>
        <v>5844</v>
      </c>
      <c r="K46" t="s">
        <v>90</v>
      </c>
      <c r="L46" s="41">
        <f t="shared" si="8"/>
        <v>16</v>
      </c>
      <c r="M46" s="44">
        <v>2.69</v>
      </c>
      <c r="N46" s="44">
        <v>2.6961572726798027</v>
      </c>
      <c r="O46" s="77">
        <f t="shared" si="10"/>
        <v>0.65484596743878254</v>
      </c>
      <c r="P46" s="77">
        <f t="shared" si="11"/>
        <v>12.80170248444584</v>
      </c>
      <c r="Q46" s="77">
        <f t="shared" si="4"/>
        <v>2.6812868129496792</v>
      </c>
      <c r="S46" t="str">
        <v>30y</v>
      </c>
      <c r="T46" s="1">
        <v>55939</v>
      </c>
      <c r="U46">
        <v>2.19</v>
      </c>
      <c r="W46" t="str">
        <v>16y</v>
      </c>
      <c r="X46" s="77">
        <v>2.6961572726798027</v>
      </c>
      <c r="Y46" s="2">
        <v>50824</v>
      </c>
      <c r="Z46" s="77">
        <v>0.65484596743878254</v>
      </c>
      <c r="AA46" s="77">
        <v>2.6812868129496792</v>
      </c>
      <c r="AB46" t="b">
        <v>0</v>
      </c>
      <c r="AD46" t="str">
        <v>16y</v>
      </c>
      <c r="AE46" s="77">
        <v>2.6961572726798027</v>
      </c>
      <c r="AF46" s="2">
        <v>50824</v>
      </c>
      <c r="AG46" s="77">
        <v>0.65484596743878254</v>
      </c>
      <c r="AH46" s="77">
        <v>2.6812868129496792</v>
      </c>
      <c r="AI46" t="b">
        <v>0</v>
      </c>
      <c r="AL46" s="77"/>
      <c r="AM46" s="79"/>
      <c r="AN46" s="80"/>
      <c r="AO46" s="77"/>
      <c r="AP46" s="77"/>
    </row>
    <row r="47" spans="1:42" x14ac:dyDescent="0.2">
      <c r="A47" s="7">
        <v>46</v>
      </c>
      <c r="B47" s="8" t="s">
        <v>58</v>
      </c>
      <c r="C47" s="8" t="s">
        <v>75</v>
      </c>
      <c r="D47" s="7">
        <v>17</v>
      </c>
      <c r="E47" s="24"/>
      <c r="F47" s="2">
        <f t="shared" si="9"/>
        <v>51189</v>
      </c>
      <c r="G47" s="1" t="str">
        <f t="shared" si="6"/>
        <v>TRUE</v>
      </c>
      <c r="H47" s="1">
        <f t="shared" si="7"/>
        <v>51189</v>
      </c>
      <c r="I47" t="b">
        <v>0</v>
      </c>
      <c r="J47">
        <f t="shared" si="12"/>
        <v>6209</v>
      </c>
      <c r="K47" t="s">
        <v>90</v>
      </c>
      <c r="L47" s="41">
        <f t="shared" si="8"/>
        <v>17</v>
      </c>
      <c r="M47" s="44">
        <v>2.66</v>
      </c>
      <c r="N47" s="44">
        <v>2.6652920986531186</v>
      </c>
      <c r="O47" s="77">
        <f t="shared" si="10"/>
        <v>0.64169421010942407</v>
      </c>
      <c r="P47" s="77">
        <f t="shared" si="11"/>
        <v>13.443396694555265</v>
      </c>
      <c r="Q47" s="77">
        <f t="shared" si="4"/>
        <v>2.6440170071587499</v>
      </c>
      <c r="T47" s="1"/>
      <c r="W47" t="str">
        <v>17y</v>
      </c>
      <c r="X47" s="77">
        <v>2.6652920986531186</v>
      </c>
      <c r="Y47" s="2">
        <v>51189</v>
      </c>
      <c r="Z47" s="77">
        <v>0.64169421010942407</v>
      </c>
      <c r="AA47" s="77">
        <v>2.6440170071587499</v>
      </c>
      <c r="AB47" t="b">
        <v>0</v>
      </c>
      <c r="AD47" t="str">
        <v>17y</v>
      </c>
      <c r="AE47" s="77">
        <v>2.6652920986531186</v>
      </c>
      <c r="AF47" s="2">
        <v>51189</v>
      </c>
      <c r="AG47" s="77">
        <v>0.64169421010942407</v>
      </c>
      <c r="AH47" s="77">
        <v>2.6440170071587499</v>
      </c>
      <c r="AI47" t="b">
        <v>0</v>
      </c>
      <c r="AL47" s="77"/>
      <c r="AM47" s="79"/>
      <c r="AN47" s="80"/>
      <c r="AO47" s="77"/>
      <c r="AP47" s="77"/>
    </row>
    <row r="48" spans="1:42" x14ac:dyDescent="0.2">
      <c r="A48" s="7">
        <v>47</v>
      </c>
      <c r="B48" s="8" t="s">
        <v>58</v>
      </c>
      <c r="C48" s="8" t="s">
        <v>76</v>
      </c>
      <c r="D48" s="7">
        <v>18</v>
      </c>
      <c r="E48" s="24"/>
      <c r="F48" s="2">
        <f t="shared" si="9"/>
        <v>51555</v>
      </c>
      <c r="G48" s="1" t="str">
        <f t="shared" si="6"/>
        <v>FALSE</v>
      </c>
      <c r="H48" s="1">
        <f t="shared" si="7"/>
        <v>51557</v>
      </c>
      <c r="I48" t="b">
        <v>0</v>
      </c>
      <c r="J48">
        <f t="shared" si="12"/>
        <v>6577</v>
      </c>
      <c r="K48" t="s">
        <v>90</v>
      </c>
      <c r="L48" s="41">
        <f t="shared" si="8"/>
        <v>18.005555555555556</v>
      </c>
      <c r="M48" s="44">
        <v>2.63</v>
      </c>
      <c r="N48" s="44">
        <v>2.6290482239264126</v>
      </c>
      <c r="O48" s="77">
        <f t="shared" si="10"/>
        <v>0.62991387433253276</v>
      </c>
      <c r="P48" s="77">
        <f t="shared" si="11"/>
        <v>14.076810090411868</v>
      </c>
      <c r="Q48" s="77">
        <f t="shared" si="4"/>
        <v>2.6000577590030716</v>
      </c>
      <c r="T48" s="1"/>
      <c r="W48" t="str">
        <v>18y</v>
      </c>
      <c r="X48" s="77">
        <v>2.6290482239264126</v>
      </c>
      <c r="Y48" s="2">
        <v>51557</v>
      </c>
      <c r="Z48" s="77">
        <v>0.62991387433253276</v>
      </c>
      <c r="AA48" s="77">
        <v>2.6000577590030716</v>
      </c>
      <c r="AB48" t="b">
        <v>0</v>
      </c>
      <c r="AD48" t="str">
        <v>18y</v>
      </c>
      <c r="AE48" s="77">
        <v>2.6290482239264126</v>
      </c>
      <c r="AF48" s="2">
        <v>51557</v>
      </c>
      <c r="AG48" s="77">
        <v>0.62991387433253276</v>
      </c>
      <c r="AH48" s="77">
        <v>2.6000577590030716</v>
      </c>
      <c r="AI48" t="b">
        <v>0</v>
      </c>
      <c r="AL48" s="77"/>
      <c r="AM48" s="79"/>
      <c r="AN48" s="80"/>
      <c r="AO48" s="77"/>
      <c r="AP48" s="77"/>
    </row>
    <row r="49" spans="1:42" x14ac:dyDescent="0.2">
      <c r="A49" s="7">
        <v>48</v>
      </c>
      <c r="B49" s="8" t="s">
        <v>58</v>
      </c>
      <c r="C49" s="8" t="s">
        <v>77</v>
      </c>
      <c r="D49" s="7">
        <v>19</v>
      </c>
      <c r="E49" s="24"/>
      <c r="F49" s="2">
        <f t="shared" si="9"/>
        <v>51920</v>
      </c>
      <c r="G49" s="1" t="str">
        <f t="shared" si="6"/>
        <v>FALSE</v>
      </c>
      <c r="H49" s="1">
        <f t="shared" si="7"/>
        <v>51921</v>
      </c>
      <c r="I49" t="b">
        <v>0</v>
      </c>
      <c r="J49">
        <f t="shared" si="12"/>
        <v>6941</v>
      </c>
      <c r="K49" t="s">
        <v>90</v>
      </c>
      <c r="L49" s="41">
        <f t="shared" si="8"/>
        <v>19.002777777777776</v>
      </c>
      <c r="M49" s="44">
        <v>2.89</v>
      </c>
      <c r="N49" s="44">
        <v>2.590094539335265</v>
      </c>
      <c r="O49" s="77">
        <f t="shared" si="10"/>
        <v>0.61939885845934628</v>
      </c>
      <c r="P49" s="77">
        <f t="shared" si="11"/>
        <v>14.694488396486603</v>
      </c>
      <c r="Q49" s="77">
        <f t="shared" si="4"/>
        <v>2.5527535718716132</v>
      </c>
      <c r="T49" s="1"/>
      <c r="W49" t="str">
        <v>19y</v>
      </c>
      <c r="X49" s="77">
        <v>2.590094539335265</v>
      </c>
      <c r="Y49" s="2">
        <v>51921</v>
      </c>
      <c r="Z49" s="77">
        <v>0.61939885845934628</v>
      </c>
      <c r="AA49" s="77">
        <v>2.5527535718716132</v>
      </c>
      <c r="AB49" t="b">
        <v>0</v>
      </c>
      <c r="AD49" t="str">
        <v>19y</v>
      </c>
      <c r="AE49" s="77">
        <v>2.590094539335265</v>
      </c>
      <c r="AF49" s="2">
        <v>51921</v>
      </c>
      <c r="AG49" s="77">
        <v>0.61939885845934628</v>
      </c>
      <c r="AH49" s="77">
        <v>2.5527535718716132</v>
      </c>
      <c r="AI49" t="b">
        <v>0</v>
      </c>
      <c r="AL49" s="77"/>
      <c r="AM49" s="79"/>
      <c r="AN49" s="80"/>
      <c r="AO49" s="77"/>
      <c r="AP49" s="77"/>
    </row>
    <row r="50" spans="1:42" x14ac:dyDescent="0.2">
      <c r="A50" s="9">
        <v>49</v>
      </c>
      <c r="B50" s="10" t="s">
        <v>58</v>
      </c>
      <c r="C50" s="10" t="s">
        <v>78</v>
      </c>
      <c r="D50" s="9">
        <v>20</v>
      </c>
      <c r="E50" s="25"/>
      <c r="F50" s="29">
        <f t="shared" si="9"/>
        <v>52285</v>
      </c>
      <c r="G50" s="26" t="str">
        <f t="shared" si="6"/>
        <v>TRUE</v>
      </c>
      <c r="H50" s="26">
        <f t="shared" si="7"/>
        <v>52285</v>
      </c>
      <c r="I50" t="b">
        <v>1</v>
      </c>
      <c r="J50" s="5">
        <f t="shared" si="12"/>
        <v>7305</v>
      </c>
      <c r="K50" s="5" t="s">
        <v>90</v>
      </c>
      <c r="L50" s="43">
        <f t="shared" si="8"/>
        <v>20</v>
      </c>
      <c r="M50" s="45">
        <v>2.5499999999999998</v>
      </c>
      <c r="N50" s="45">
        <v>2.5499999999999998</v>
      </c>
      <c r="O50" s="84">
        <f t="shared" si="10"/>
        <v>0.60978424079959193</v>
      </c>
      <c r="P50" s="84">
        <f t="shared" si="11"/>
        <v>15.302578792172865</v>
      </c>
      <c r="Q50" s="84">
        <f t="shared" si="4"/>
        <v>2.5040889919931697</v>
      </c>
      <c r="T50" s="1"/>
      <c r="W50" t="str">
        <v>20y</v>
      </c>
      <c r="X50" s="77">
        <v>2.5499999999999998</v>
      </c>
      <c r="Y50" s="2">
        <v>52285</v>
      </c>
      <c r="Z50" s="77">
        <v>0.60978424079959193</v>
      </c>
      <c r="AA50" s="77">
        <v>2.5040889919931697</v>
      </c>
      <c r="AB50" t="b">
        <v>1</v>
      </c>
      <c r="AD50" t="str">
        <v>20y</v>
      </c>
      <c r="AE50" s="77">
        <v>2.5499999999999998</v>
      </c>
      <c r="AF50" s="2">
        <v>52285</v>
      </c>
      <c r="AG50" s="77">
        <v>0.60978424079959193</v>
      </c>
      <c r="AH50" s="77">
        <v>2.5040889919931697</v>
      </c>
      <c r="AI50" t="b">
        <v>1</v>
      </c>
      <c r="AL50" s="77"/>
      <c r="AM50" s="79"/>
      <c r="AN50" s="80"/>
      <c r="AO50" s="77"/>
      <c r="AP50" s="77"/>
    </row>
    <row r="51" spans="1:42" x14ac:dyDescent="0.2">
      <c r="A51" s="7">
        <v>50</v>
      </c>
      <c r="B51" s="8" t="s">
        <v>58</v>
      </c>
      <c r="C51" s="8" t="s">
        <v>79</v>
      </c>
      <c r="D51" s="7">
        <v>21</v>
      </c>
      <c r="E51" s="24"/>
      <c r="F51" s="2">
        <f t="shared" si="9"/>
        <v>52650</v>
      </c>
      <c r="G51" s="1" t="str">
        <f t="shared" si="6"/>
        <v>TRUE</v>
      </c>
      <c r="H51" s="1">
        <f t="shared" si="7"/>
        <v>52650</v>
      </c>
      <c r="I51" t="b">
        <v>0</v>
      </c>
      <c r="J51">
        <f t="shared" si="12"/>
        <v>7670</v>
      </c>
      <c r="K51" t="s">
        <v>90</v>
      </c>
      <c r="L51" s="41">
        <f t="shared" si="8"/>
        <v>21</v>
      </c>
      <c r="M51" s="44">
        <v>0</v>
      </c>
      <c r="N51" s="44">
        <v>2.5102789843792372</v>
      </c>
      <c r="O51" s="77">
        <f t="shared" si="10"/>
        <v>0.60078129394795332</v>
      </c>
      <c r="P51" s="77">
        <f t="shared" si="11"/>
        <v>15.903360086120818</v>
      </c>
      <c r="Q51" s="77">
        <f t="shared" si="4"/>
        <v>2.455980579259287</v>
      </c>
      <c r="T51" s="1"/>
      <c r="W51" t="str">
        <v>21y</v>
      </c>
      <c r="X51" s="77">
        <v>2.5102789843792372</v>
      </c>
      <c r="Y51" s="2">
        <v>52650</v>
      </c>
      <c r="Z51" s="77">
        <v>0.60078129394795332</v>
      </c>
      <c r="AA51" s="77">
        <v>2.455980579259287</v>
      </c>
      <c r="AB51" t="b">
        <v>0</v>
      </c>
      <c r="AD51" t="str">
        <v>21y</v>
      </c>
      <c r="AE51" s="77">
        <v>2.5102789843792372</v>
      </c>
      <c r="AF51" s="2">
        <v>52650</v>
      </c>
      <c r="AG51" s="77">
        <v>0.60078129394795332</v>
      </c>
      <c r="AH51" s="77">
        <v>2.455980579259287</v>
      </c>
      <c r="AI51" t="b">
        <v>0</v>
      </c>
      <c r="AL51" s="77"/>
      <c r="AM51" s="79"/>
      <c r="AN51" s="80"/>
      <c r="AO51" s="77"/>
      <c r="AP51" s="77"/>
    </row>
    <row r="52" spans="1:42" x14ac:dyDescent="0.2">
      <c r="A52" s="7">
        <v>51</v>
      </c>
      <c r="B52" s="8" t="s">
        <v>58</v>
      </c>
      <c r="C52" s="8" t="s">
        <v>80</v>
      </c>
      <c r="D52" s="7">
        <v>22</v>
      </c>
      <c r="E52" s="24"/>
      <c r="F52" s="2">
        <f t="shared" si="9"/>
        <v>53016</v>
      </c>
      <c r="G52" s="1" t="str">
        <f t="shared" si="6"/>
        <v>TRUE</v>
      </c>
      <c r="H52" s="1">
        <f t="shared" si="7"/>
        <v>53016</v>
      </c>
      <c r="I52" t="b">
        <v>0</v>
      </c>
      <c r="J52">
        <f t="shared" si="12"/>
        <v>8036</v>
      </c>
      <c r="K52" t="s">
        <v>90</v>
      </c>
      <c r="L52" s="41">
        <f t="shared" si="8"/>
        <v>22</v>
      </c>
      <c r="M52" s="44">
        <v>0</v>
      </c>
      <c r="N52" s="44">
        <v>2.4712936717103933</v>
      </c>
      <c r="O52" s="77">
        <f t="shared" si="10"/>
        <v>0.59234273995503495</v>
      </c>
      <c r="P52" s="77">
        <f t="shared" si="11"/>
        <v>16.495702826075853</v>
      </c>
      <c r="Q52" s="77">
        <f t="shared" si="4"/>
        <v>2.4088732206981822</v>
      </c>
      <c r="T52" s="1"/>
      <c r="W52" t="str">
        <v>22y</v>
      </c>
      <c r="X52" s="77">
        <v>2.4712936717103933</v>
      </c>
      <c r="Y52" s="2">
        <v>53016</v>
      </c>
      <c r="Z52" s="77">
        <v>0.59234273995503495</v>
      </c>
      <c r="AA52" s="77">
        <v>2.4088732206981822</v>
      </c>
      <c r="AB52" t="b">
        <v>0</v>
      </c>
      <c r="AD52" t="str">
        <v>22y</v>
      </c>
      <c r="AE52" s="77">
        <v>2.4712936717103933</v>
      </c>
      <c r="AF52" s="2">
        <v>53016</v>
      </c>
      <c r="AG52" s="77">
        <v>0.59234273995503495</v>
      </c>
      <c r="AH52" s="77">
        <v>2.4088732206981822</v>
      </c>
      <c r="AI52" t="b">
        <v>0</v>
      </c>
      <c r="AL52" s="77"/>
      <c r="AM52" s="79"/>
      <c r="AN52" s="80"/>
      <c r="AO52" s="77"/>
      <c r="AP52" s="77"/>
    </row>
    <row r="53" spans="1:42" x14ac:dyDescent="0.2">
      <c r="A53" s="7">
        <v>52</v>
      </c>
      <c r="B53" s="8" t="s">
        <v>58</v>
      </c>
      <c r="C53" s="8" t="s">
        <v>81</v>
      </c>
      <c r="D53" s="7">
        <v>23</v>
      </c>
      <c r="E53" s="24"/>
      <c r="F53" s="2">
        <f t="shared" si="9"/>
        <v>53381</v>
      </c>
      <c r="G53" s="1" t="str">
        <f t="shared" si="6"/>
        <v>TRUE</v>
      </c>
      <c r="H53" s="1">
        <f t="shared" si="7"/>
        <v>53381</v>
      </c>
      <c r="I53" t="b">
        <v>0</v>
      </c>
      <c r="J53">
        <f t="shared" si="12"/>
        <v>8401</v>
      </c>
      <c r="K53" t="s">
        <v>90</v>
      </c>
      <c r="L53" s="41">
        <f t="shared" si="8"/>
        <v>23</v>
      </c>
      <c r="M53" s="44">
        <v>0</v>
      </c>
      <c r="N53" s="44">
        <v>2.4332964054491875</v>
      </c>
      <c r="O53" s="77">
        <f t="shared" si="10"/>
        <v>0.58439069822580825</v>
      </c>
      <c r="P53" s="77">
        <f t="shared" si="11"/>
        <v>17.08009352430166</v>
      </c>
      <c r="Q53" s="77">
        <f t="shared" si="4"/>
        <v>2.3630776734367975</v>
      </c>
      <c r="T53" s="1"/>
      <c r="W53" t="str">
        <v>23y</v>
      </c>
      <c r="X53" s="77">
        <v>2.4332964054491875</v>
      </c>
      <c r="Y53" s="2">
        <v>53381</v>
      </c>
      <c r="Z53" s="77">
        <v>0.58439069822580825</v>
      </c>
      <c r="AA53" s="77">
        <v>2.3630776734367975</v>
      </c>
      <c r="AB53" t="b">
        <v>0</v>
      </c>
      <c r="AD53" t="str">
        <v>23y</v>
      </c>
      <c r="AE53" s="77">
        <v>2.4332964054491875</v>
      </c>
      <c r="AF53" s="2">
        <v>53381</v>
      </c>
      <c r="AG53" s="77">
        <v>0.58439069822580825</v>
      </c>
      <c r="AH53" s="77">
        <v>2.3630776734367975</v>
      </c>
      <c r="AI53" t="b">
        <v>0</v>
      </c>
      <c r="AL53" s="77"/>
      <c r="AM53" s="79"/>
      <c r="AN53" s="80"/>
      <c r="AO53" s="77"/>
      <c r="AP53" s="77"/>
    </row>
    <row r="54" spans="1:42" x14ac:dyDescent="0.2">
      <c r="A54" s="7">
        <v>53</v>
      </c>
      <c r="B54" s="8" t="s">
        <v>58</v>
      </c>
      <c r="C54" s="8" t="s">
        <v>82</v>
      </c>
      <c r="D54" s="7">
        <v>24</v>
      </c>
      <c r="E54" s="24"/>
      <c r="F54" s="2">
        <f t="shared" si="9"/>
        <v>53746</v>
      </c>
      <c r="G54" s="1" t="str">
        <f t="shared" si="6"/>
        <v>FALSE</v>
      </c>
      <c r="H54" s="1">
        <f t="shared" si="7"/>
        <v>53748</v>
      </c>
      <c r="I54" t="b">
        <v>0</v>
      </c>
      <c r="J54">
        <f t="shared" si="12"/>
        <v>8768</v>
      </c>
      <c r="K54" t="s">
        <v>90</v>
      </c>
      <c r="L54" s="41">
        <f t="shared" si="8"/>
        <v>24.005555555555556</v>
      </c>
      <c r="M54" s="44">
        <v>0</v>
      </c>
      <c r="N54" s="44">
        <v>2.3960174487276014</v>
      </c>
      <c r="O54" s="77">
        <f t="shared" si="10"/>
        <v>0.5768595367699938</v>
      </c>
      <c r="P54" s="77">
        <f t="shared" si="11"/>
        <v>17.660157836275932</v>
      </c>
      <c r="Q54" s="77">
        <f t="shared" si="4"/>
        <v>2.3182513955836814</v>
      </c>
      <c r="T54" s="1"/>
      <c r="W54" t="str">
        <v>24y</v>
      </c>
      <c r="X54" s="77">
        <v>2.3960174487276014</v>
      </c>
      <c r="Y54" s="2">
        <v>53748</v>
      </c>
      <c r="Z54" s="77">
        <v>0.5768595367699938</v>
      </c>
      <c r="AA54" s="77">
        <v>2.3182513955836814</v>
      </c>
      <c r="AB54" t="b">
        <v>0</v>
      </c>
      <c r="AD54" t="str">
        <v>24y</v>
      </c>
      <c r="AE54" s="77">
        <v>2.3960174487276014</v>
      </c>
      <c r="AF54" s="2">
        <v>53748</v>
      </c>
      <c r="AG54" s="77">
        <v>0.5768595367699938</v>
      </c>
      <c r="AH54" s="77">
        <v>2.3182513955836814</v>
      </c>
      <c r="AI54" t="b">
        <v>0</v>
      </c>
      <c r="AL54" s="77"/>
      <c r="AM54" s="79"/>
      <c r="AN54" s="80"/>
      <c r="AO54" s="77"/>
      <c r="AP54" s="77"/>
    </row>
    <row r="55" spans="1:42" x14ac:dyDescent="0.2">
      <c r="A55" s="9">
        <v>54</v>
      </c>
      <c r="B55" s="10" t="s">
        <v>58</v>
      </c>
      <c r="C55" s="10" t="s">
        <v>83</v>
      </c>
      <c r="D55" s="9">
        <v>25</v>
      </c>
      <c r="E55" s="25"/>
      <c r="F55" s="29">
        <f t="shared" si="9"/>
        <v>54111</v>
      </c>
      <c r="G55" s="26" t="str">
        <f t="shared" si="6"/>
        <v>FALSE</v>
      </c>
      <c r="H55" s="26">
        <f t="shared" si="7"/>
        <v>54112</v>
      </c>
      <c r="I55" s="5" t="b">
        <v>1</v>
      </c>
      <c r="J55" s="5">
        <f t="shared" si="12"/>
        <v>9132</v>
      </c>
      <c r="K55" s="5" t="s">
        <v>90</v>
      </c>
      <c r="L55" s="43">
        <f t="shared" si="8"/>
        <v>25.002777777777776</v>
      </c>
      <c r="M55" s="45">
        <v>2.36</v>
      </c>
      <c r="N55" s="45">
        <v>2.36</v>
      </c>
      <c r="O55" s="84">
        <f t="shared" si="10"/>
        <v>0.56981011067043208</v>
      </c>
      <c r="P55" s="84">
        <f t="shared" si="11"/>
        <v>18.22838514108339</v>
      </c>
      <c r="Q55" s="84">
        <f t="shared" si="4"/>
        <v>2.2750518714836021</v>
      </c>
      <c r="T55" s="1"/>
      <c r="W55" t="str">
        <v>25y</v>
      </c>
      <c r="X55" s="77">
        <v>2.36</v>
      </c>
      <c r="Y55" s="2">
        <v>54112</v>
      </c>
      <c r="Z55" s="77">
        <v>0.56981011067043208</v>
      </c>
      <c r="AA55" s="77">
        <v>2.2750518714836021</v>
      </c>
      <c r="AB55" t="b">
        <v>1</v>
      </c>
      <c r="AD55" t="str">
        <v>25y</v>
      </c>
      <c r="AE55" s="77">
        <v>2.36</v>
      </c>
      <c r="AF55" s="2">
        <v>54112</v>
      </c>
      <c r="AG55" s="77">
        <v>0.56981011067043208</v>
      </c>
      <c r="AH55" s="77">
        <v>2.2750518714836021</v>
      </c>
      <c r="AI55" t="b">
        <v>1</v>
      </c>
      <c r="AL55" s="77"/>
      <c r="AM55" s="79"/>
      <c r="AN55" s="80"/>
      <c r="AO55" s="77"/>
      <c r="AP55" s="77"/>
    </row>
    <row r="56" spans="1:42" x14ac:dyDescent="0.2">
      <c r="A56" s="7">
        <v>55</v>
      </c>
      <c r="B56" s="8" t="s">
        <v>58</v>
      </c>
      <c r="C56" s="8" t="s">
        <v>84</v>
      </c>
      <c r="D56" s="7">
        <v>26</v>
      </c>
      <c r="E56" s="24"/>
      <c r="F56" s="2">
        <f t="shared" si="9"/>
        <v>54477</v>
      </c>
      <c r="G56" s="1" t="str">
        <f t="shared" si="6"/>
        <v>TRUE</v>
      </c>
      <c r="H56" s="1">
        <f t="shared" si="7"/>
        <v>54477</v>
      </c>
      <c r="I56" t="b">
        <v>0</v>
      </c>
      <c r="J56">
        <f t="shared" si="12"/>
        <v>9497</v>
      </c>
      <c r="K56" t="s">
        <v>90</v>
      </c>
      <c r="L56" s="41">
        <f t="shared" si="8"/>
        <v>26</v>
      </c>
      <c r="M56" s="44">
        <v>0</v>
      </c>
      <c r="N56" s="44">
        <v>2.3248392561698994</v>
      </c>
      <c r="O56" s="77">
        <f t="shared" si="10"/>
        <v>0.56316307858137959</v>
      </c>
      <c r="P56" s="77">
        <f t="shared" si="11"/>
        <v>18.789983877779822</v>
      </c>
      <c r="Q56" s="77">
        <f t="shared" si="4"/>
        <v>2.2329736484710372</v>
      </c>
      <c r="T56" s="1"/>
      <c r="W56" t="str">
        <v>26y</v>
      </c>
      <c r="X56" s="77">
        <v>2.3248392561698994</v>
      </c>
      <c r="Y56" s="2">
        <v>54477</v>
      </c>
      <c r="Z56" s="77">
        <v>0.56316307858137959</v>
      </c>
      <c r="AA56" s="77">
        <v>2.2329736484710372</v>
      </c>
      <c r="AB56" t="b">
        <v>0</v>
      </c>
      <c r="AD56" t="str">
        <v>26y</v>
      </c>
      <c r="AE56" s="77">
        <v>2.3248392561698994</v>
      </c>
      <c r="AF56" s="2">
        <v>54477</v>
      </c>
      <c r="AG56" s="77">
        <v>0.56316307858137959</v>
      </c>
      <c r="AH56" s="77">
        <v>2.2329736484710372</v>
      </c>
      <c r="AI56" t="b">
        <v>0</v>
      </c>
      <c r="AL56" s="77"/>
      <c r="AM56" s="79"/>
      <c r="AN56" s="80"/>
      <c r="AO56" s="77"/>
      <c r="AP56" s="77"/>
    </row>
    <row r="57" spans="1:42" x14ac:dyDescent="0.2">
      <c r="A57" s="7">
        <v>56</v>
      </c>
      <c r="B57" s="8" t="s">
        <v>58</v>
      </c>
      <c r="C57" s="8" t="s">
        <v>85</v>
      </c>
      <c r="D57" s="7">
        <v>27</v>
      </c>
      <c r="E57" s="24"/>
      <c r="F57" s="2">
        <f t="shared" si="9"/>
        <v>54842</v>
      </c>
      <c r="G57" s="1" t="str">
        <f t="shared" si="6"/>
        <v>TRUE</v>
      </c>
      <c r="H57" s="1">
        <f t="shared" si="7"/>
        <v>54842</v>
      </c>
      <c r="I57" t="b">
        <v>0</v>
      </c>
      <c r="J57">
        <f t="shared" si="12"/>
        <v>9862</v>
      </c>
      <c r="K57" t="s">
        <v>90</v>
      </c>
      <c r="L57" s="41">
        <f t="shared" si="8"/>
        <v>27</v>
      </c>
      <c r="M57" s="44">
        <v>0</v>
      </c>
      <c r="N57" s="44">
        <v>2.2904761568988143</v>
      </c>
      <c r="O57" s="77">
        <f t="shared" si="10"/>
        <v>0.55686503846223889</v>
      </c>
      <c r="P57" s="77">
        <f t="shared" si="11"/>
        <v>19.34684891624206</v>
      </c>
      <c r="Q57" s="77">
        <f t="shared" si="4"/>
        <v>2.191945788140659</v>
      </c>
      <c r="T57" s="1"/>
      <c r="W57" t="str">
        <v>27y</v>
      </c>
      <c r="X57" s="77">
        <v>2.2904761568988143</v>
      </c>
      <c r="Y57" s="2">
        <v>54842</v>
      </c>
      <c r="Z57" s="77">
        <v>0.55686503846223889</v>
      </c>
      <c r="AA57" s="77">
        <v>2.191945788140659</v>
      </c>
      <c r="AB57" t="b">
        <v>0</v>
      </c>
      <c r="AD57" t="str">
        <v>27y</v>
      </c>
      <c r="AE57" s="77">
        <v>2.2904761568988143</v>
      </c>
      <c r="AF57" s="2">
        <v>54842</v>
      </c>
      <c r="AG57" s="77">
        <v>0.55686503846223889</v>
      </c>
      <c r="AH57" s="77">
        <v>2.191945788140659</v>
      </c>
      <c r="AI57" t="b">
        <v>0</v>
      </c>
      <c r="AL57" s="77"/>
      <c r="AM57" s="79"/>
      <c r="AN57" s="80"/>
      <c r="AO57" s="77"/>
      <c r="AP57" s="77"/>
    </row>
    <row r="58" spans="1:42" x14ac:dyDescent="0.2">
      <c r="A58" s="7">
        <v>57</v>
      </c>
      <c r="B58" s="8" t="s">
        <v>58</v>
      </c>
      <c r="C58" s="8" t="s">
        <v>86</v>
      </c>
      <c r="D58" s="7">
        <v>28</v>
      </c>
      <c r="E58" s="24"/>
      <c r="F58" s="2">
        <f t="shared" si="9"/>
        <v>55207</v>
      </c>
      <c r="G58" s="1" t="str">
        <f t="shared" si="6"/>
        <v>TRUE</v>
      </c>
      <c r="H58" s="1">
        <f t="shared" si="7"/>
        <v>55207</v>
      </c>
      <c r="I58" t="b">
        <v>0</v>
      </c>
      <c r="J58">
        <f t="shared" si="12"/>
        <v>10227</v>
      </c>
      <c r="K58" t="s">
        <v>90</v>
      </c>
      <c r="L58" s="41">
        <f t="shared" si="8"/>
        <v>28</v>
      </c>
      <c r="M58" s="44">
        <v>0</v>
      </c>
      <c r="N58" s="44">
        <v>2.2567116341796529</v>
      </c>
      <c r="O58" s="77">
        <f t="shared" si="10"/>
        <v>0.55096374668837667</v>
      </c>
      <c r="P58" s="77">
        <f t="shared" si="11"/>
        <v>19.897812662930438</v>
      </c>
      <c r="Q58" s="77">
        <f t="shared" si="4"/>
        <v>2.1517018323101933</v>
      </c>
      <c r="T58" s="1"/>
      <c r="W58" t="str">
        <v>28y</v>
      </c>
      <c r="X58" s="77">
        <v>2.2567116341796529</v>
      </c>
      <c r="Y58" s="2">
        <v>55207</v>
      </c>
      <c r="Z58" s="77">
        <v>0.55096374668837667</v>
      </c>
      <c r="AA58" s="77">
        <v>2.1517018323101933</v>
      </c>
      <c r="AB58" t="b">
        <v>0</v>
      </c>
      <c r="AD58" t="str">
        <v>28y</v>
      </c>
      <c r="AE58" s="77">
        <v>2.2567116341796529</v>
      </c>
      <c r="AF58" s="2">
        <v>55207</v>
      </c>
      <c r="AG58" s="77">
        <v>0.55096374668837667</v>
      </c>
      <c r="AH58" s="77">
        <v>2.1517018323101933</v>
      </c>
      <c r="AI58" t="b">
        <v>0</v>
      </c>
      <c r="AL58" s="77"/>
      <c r="AM58" s="79"/>
      <c r="AN58" s="80"/>
      <c r="AO58" s="77"/>
      <c r="AP58" s="77"/>
    </row>
    <row r="59" spans="1:42" x14ac:dyDescent="0.2">
      <c r="A59" s="7">
        <v>58</v>
      </c>
      <c r="B59" s="8" t="s">
        <v>58</v>
      </c>
      <c r="C59" s="8" t="s">
        <v>87</v>
      </c>
      <c r="D59" s="7">
        <v>29</v>
      </c>
      <c r="E59" s="24"/>
      <c r="F59" s="2">
        <f t="shared" si="9"/>
        <v>55572</v>
      </c>
      <c r="G59" s="1" t="str">
        <f t="shared" si="6"/>
        <v>TRUE</v>
      </c>
      <c r="H59" s="1">
        <f t="shared" si="7"/>
        <v>55572</v>
      </c>
      <c r="I59" t="b">
        <v>0</v>
      </c>
      <c r="J59">
        <f t="shared" si="12"/>
        <v>10592</v>
      </c>
      <c r="K59" t="s">
        <v>90</v>
      </c>
      <c r="L59" s="41">
        <f t="shared" si="8"/>
        <v>29</v>
      </c>
      <c r="M59" s="44">
        <v>0</v>
      </c>
      <c r="N59" s="44">
        <v>2.2233465162932409</v>
      </c>
      <c r="O59" s="77">
        <f t="shared" si="10"/>
        <v>0.54547487862892963</v>
      </c>
      <c r="P59" s="77">
        <f t="shared" si="11"/>
        <v>20.443287541559368</v>
      </c>
      <c r="Q59" s="77">
        <f t="shared" si="4"/>
        <v>2.1119882664664802</v>
      </c>
      <c r="T59" s="1"/>
      <c r="W59" t="str">
        <v>29y</v>
      </c>
      <c r="X59" s="77">
        <v>2.2233465162932409</v>
      </c>
      <c r="Y59" s="2">
        <v>55572</v>
      </c>
      <c r="Z59" s="77">
        <v>0.54547487862892963</v>
      </c>
      <c r="AA59" s="77">
        <v>2.1119882664664802</v>
      </c>
      <c r="AB59" t="b">
        <v>0</v>
      </c>
      <c r="AD59" t="str">
        <v>29y</v>
      </c>
      <c r="AE59" s="77">
        <v>2.2233465162932409</v>
      </c>
      <c r="AF59" s="2">
        <v>55572</v>
      </c>
      <c r="AG59" s="77">
        <v>0.54547487862892963</v>
      </c>
      <c r="AH59" s="77">
        <v>2.1119882664664802</v>
      </c>
      <c r="AI59" t="b">
        <v>0</v>
      </c>
      <c r="AL59" s="77"/>
      <c r="AM59" s="79"/>
      <c r="AN59" s="80"/>
      <c r="AO59" s="77"/>
      <c r="AP59" s="77"/>
    </row>
    <row r="60" spans="1:42" x14ac:dyDescent="0.2">
      <c r="A60" s="9">
        <v>59</v>
      </c>
      <c r="B60" s="10" t="s">
        <v>58</v>
      </c>
      <c r="C60" s="10" t="s">
        <v>88</v>
      </c>
      <c r="D60" s="9">
        <v>30</v>
      </c>
      <c r="E60" s="25"/>
      <c r="F60" s="29">
        <f t="shared" si="9"/>
        <v>55938</v>
      </c>
      <c r="G60" s="26" t="str">
        <f t="shared" si="6"/>
        <v>FALSE</v>
      </c>
      <c r="H60" s="26">
        <f t="shared" si="7"/>
        <v>55939</v>
      </c>
      <c r="I60" s="5" t="b">
        <v>1</v>
      </c>
      <c r="J60" s="5">
        <f t="shared" si="12"/>
        <v>10959</v>
      </c>
      <c r="K60" s="5" t="s">
        <v>90</v>
      </c>
      <c r="L60" s="43">
        <f t="shared" si="8"/>
        <v>30.002777777777776</v>
      </c>
      <c r="M60" s="45">
        <v>2.19</v>
      </c>
      <c r="N60" s="45">
        <v>2.19</v>
      </c>
      <c r="O60" s="84">
        <f t="shared" si="10"/>
        <v>0.54042384485365946</v>
      </c>
      <c r="P60" s="84">
        <f t="shared" si="11"/>
        <v>20.985212563759841</v>
      </c>
      <c r="Q60" s="84">
        <f t="shared" si="4"/>
        <v>2.0723291967760904</v>
      </c>
      <c r="T60" s="1"/>
      <c r="W60" t="str">
        <v>30y</v>
      </c>
      <c r="X60" s="77">
        <v>2.19</v>
      </c>
      <c r="Y60" s="2">
        <v>55939</v>
      </c>
      <c r="Z60" s="77">
        <v>0.54042384485365946</v>
      </c>
      <c r="AA60" s="77">
        <v>2.0723291967760904</v>
      </c>
      <c r="AB60" t="b">
        <v>1</v>
      </c>
      <c r="AD60" t="str">
        <v>30y</v>
      </c>
      <c r="AE60" s="77">
        <v>2.19</v>
      </c>
      <c r="AF60" s="2">
        <v>55939</v>
      </c>
      <c r="AG60" s="77">
        <v>0.54042384485365946</v>
      </c>
      <c r="AH60" s="77">
        <v>2.0723291967760904</v>
      </c>
      <c r="AI60" t="b">
        <v>1</v>
      </c>
      <c r="AL60" s="77"/>
      <c r="AM60" s="79"/>
      <c r="AN60" s="80"/>
      <c r="AO60" s="77"/>
      <c r="AP60" s="77"/>
    </row>
    <row r="61" spans="1:42" x14ac:dyDescent="0.2">
      <c r="T61" s="1"/>
    </row>
    <row r="62" spans="1:42" x14ac:dyDescent="0.2">
      <c r="T62" s="1"/>
    </row>
    <row r="63" spans="1:42" x14ac:dyDescent="0.2">
      <c r="T63" s="1"/>
    </row>
  </sheetData>
  <sortState xmlns:xlrd2="http://schemas.microsoft.com/office/spreadsheetml/2017/richdata2" ref="AD8:AI60">
    <sortCondition ref="AF8:AF60"/>
  </sortState>
  <mergeCells count="6">
    <mergeCell ref="A5:B5"/>
    <mergeCell ref="P3:P4"/>
    <mergeCell ref="A1:B1"/>
    <mergeCell ref="A2:B2"/>
    <mergeCell ref="A3:B3"/>
    <mergeCell ref="A4:B4"/>
  </mergeCells>
  <phoneticPr fontId="6" type="noConversion"/>
  <conditionalFormatting sqref="A1:A5 C1 C5 W4:AI4 Y6:AI6 X5:AI5 W5:W6 S8:S14 W7:AI60 E8:E60 M8:N60 AK5:AQ60">
    <cfRule type="containsText" dxfId="74" priority="117" operator="containsText" text="F12">
      <formula>NOT(ISERROR(SEARCH("F12",A1)))</formula>
    </cfRule>
    <cfRule type="containsText" dxfId="73" priority="118" operator="containsText" text="F11">
      <formula>NOT(ISERROR(SEARCH("F11",A1)))</formula>
    </cfRule>
    <cfRule type="containsText" dxfId="72" priority="119" operator="containsText" text="F10">
      <formula>NOT(ISERROR(SEARCH("F10",A1)))</formula>
    </cfRule>
    <cfRule type="containsText" dxfId="71" priority="120" operator="containsText" text="F9">
      <formula>NOT(ISERROR(SEARCH("F9",A1)))</formula>
    </cfRule>
    <cfRule type="cellIs" dxfId="70" priority="121" operator="equal">
      <formula>"F7"</formula>
    </cfRule>
    <cfRule type="containsText" dxfId="69" priority="122" operator="containsText" text="F8">
      <formula>NOT(ISERROR(SEARCH("F8",A1)))</formula>
    </cfRule>
    <cfRule type="containsText" dxfId="68" priority="123" operator="containsText" text="F6">
      <formula>NOT(ISERROR(SEARCH("F6",A1)))</formula>
    </cfRule>
    <cfRule type="containsText" dxfId="67" priority="124" operator="containsText" text="F5">
      <formula>NOT(ISERROR(SEARCH("F5",A1)))</formula>
    </cfRule>
  </conditionalFormatting>
  <conditionalFormatting sqref="A7:Q7">
    <cfRule type="containsText" dxfId="66" priority="109" operator="containsText" text="F12">
      <formula>NOT(ISERROR(SEARCH("F12",A7)))</formula>
    </cfRule>
    <cfRule type="containsText" dxfId="65" priority="110" operator="containsText" text="F11">
      <formula>NOT(ISERROR(SEARCH("F11",A7)))</formula>
    </cfRule>
    <cfRule type="containsText" dxfId="64" priority="111" operator="containsText" text="F10">
      <formula>NOT(ISERROR(SEARCH("F10",A7)))</formula>
    </cfRule>
    <cfRule type="containsText" dxfId="63" priority="112" operator="containsText" text="F9">
      <formula>NOT(ISERROR(SEARCH("F9",A7)))</formula>
    </cfRule>
    <cfRule type="cellIs" dxfId="62" priority="113" operator="equal">
      <formula>"F7"</formula>
    </cfRule>
    <cfRule type="containsText" dxfId="61" priority="114" operator="containsText" text="F8">
      <formula>NOT(ISERROR(SEARCH("F8",A7)))</formula>
    </cfRule>
    <cfRule type="containsText" dxfId="60" priority="115" operator="containsText" text="F6">
      <formula>NOT(ISERROR(SEARCH("F6",A7)))</formula>
    </cfRule>
    <cfRule type="containsText" dxfId="59" priority="116" operator="containsText" text="F5">
      <formula>NOT(ISERROR(SEARCH("F5",A7)))</formula>
    </cfRule>
  </conditionalFormatting>
  <conditionalFormatting sqref="P31">
    <cfRule type="containsText" dxfId="58" priority="68" operator="containsText" text="F12">
      <formula>NOT(ISERROR(SEARCH("F12",P31)))</formula>
    </cfRule>
    <cfRule type="containsText" dxfId="57" priority="69" operator="containsText" text="F11">
      <formula>NOT(ISERROR(SEARCH("F11",P31)))</formula>
    </cfRule>
    <cfRule type="containsText" dxfId="56" priority="70" operator="containsText" text="F10">
      <formula>NOT(ISERROR(SEARCH("F10",P31)))</formula>
    </cfRule>
    <cfRule type="containsText" dxfId="55" priority="71" operator="containsText" text="F9">
      <formula>NOT(ISERROR(SEARCH("F9",P31)))</formula>
    </cfRule>
    <cfRule type="cellIs" dxfId="54" priority="72" operator="equal">
      <formula>"F7"</formula>
    </cfRule>
    <cfRule type="containsText" dxfId="53" priority="73" operator="containsText" text="F8">
      <formula>NOT(ISERROR(SEARCH("F8",P31)))</formula>
    </cfRule>
    <cfRule type="containsText" dxfId="52" priority="74" operator="containsText" text="F6">
      <formula>NOT(ISERROR(SEARCH("F6",P31)))</formula>
    </cfRule>
    <cfRule type="containsText" dxfId="51" priority="75" operator="containsText" text="F5">
      <formula>NOT(ISERROR(SEARCH("F5",P31)))</formula>
    </cfRule>
  </conditionalFormatting>
  <conditionalFormatting sqref="H2:M2 G1 J3:M5 H3:H5">
    <cfRule type="containsText" dxfId="50" priority="52" operator="containsText" text="F12">
      <formula>NOT(ISERROR(SEARCH("F12",G1)))</formula>
    </cfRule>
    <cfRule type="containsText" dxfId="49" priority="53" operator="containsText" text="F11">
      <formula>NOT(ISERROR(SEARCH("F11",G1)))</formula>
    </cfRule>
    <cfRule type="containsText" dxfId="48" priority="54" operator="containsText" text="F10">
      <formula>NOT(ISERROR(SEARCH("F10",G1)))</formula>
    </cfRule>
    <cfRule type="containsText" dxfId="47" priority="55" operator="containsText" text="F9">
      <formula>NOT(ISERROR(SEARCH("F9",G1)))</formula>
    </cfRule>
    <cfRule type="cellIs" dxfId="46" priority="56" operator="equal">
      <formula>"F7"</formula>
    </cfRule>
    <cfRule type="containsText" dxfId="45" priority="57" operator="containsText" text="F8">
      <formula>NOT(ISERROR(SEARCH("F8",G1)))</formula>
    </cfRule>
    <cfRule type="containsText" dxfId="44" priority="58" operator="containsText" text="F6">
      <formula>NOT(ISERROR(SEARCH("F6",G1)))</formula>
    </cfRule>
    <cfRule type="containsText" dxfId="43" priority="59" operator="containsText" text="F5">
      <formula>NOT(ISERROR(SEARCH("F5",G1)))</formula>
    </cfRule>
  </conditionalFormatting>
  <conditionalFormatting sqref="H2:H5">
    <cfRule type="containsText" dxfId="42" priority="51" operator="containsText" text="warning">
      <formula>NOT(ISERROR(SEARCH("warning",H2)))</formula>
    </cfRule>
  </conditionalFormatting>
  <conditionalFormatting sqref="P5 P2:P3">
    <cfRule type="containsText" dxfId="41" priority="43" operator="containsText" text="F12">
      <formula>NOT(ISERROR(SEARCH("F12",P2)))</formula>
    </cfRule>
    <cfRule type="containsText" dxfId="40" priority="44" operator="containsText" text="F11">
      <formula>NOT(ISERROR(SEARCH("F11",P2)))</formula>
    </cfRule>
    <cfRule type="containsText" dxfId="39" priority="45" operator="containsText" text="F10">
      <formula>NOT(ISERROR(SEARCH("F10",P2)))</formula>
    </cfRule>
    <cfRule type="containsText" dxfId="38" priority="46" operator="containsText" text="F9">
      <formula>NOT(ISERROR(SEARCH("F9",P2)))</formula>
    </cfRule>
    <cfRule type="cellIs" dxfId="37" priority="47" operator="equal">
      <formula>"F7"</formula>
    </cfRule>
    <cfRule type="containsText" dxfId="36" priority="48" operator="containsText" text="F8">
      <formula>NOT(ISERROR(SEARCH("F8",P2)))</formula>
    </cfRule>
    <cfRule type="containsText" dxfId="35" priority="49" operator="containsText" text="F6">
      <formula>NOT(ISERROR(SEARCH("F6",P2)))</formula>
    </cfRule>
    <cfRule type="containsText" dxfId="34" priority="50" operator="containsText" text="F5">
      <formula>NOT(ISERROR(SEARCH("F5",P2)))</formula>
    </cfRule>
  </conditionalFormatting>
  <conditionalFormatting sqref="P3:P4">
    <cfRule type="cellIs" dxfId="33" priority="41" operator="equal">
      <formula>"MANUAL"</formula>
    </cfRule>
    <cfRule type="cellIs" dxfId="32" priority="42" operator="equal">
      <formula>"""MANUAL3"</formula>
    </cfRule>
  </conditionalFormatting>
  <conditionalFormatting sqref="S1:S5 U2:U5 S6:U7 T9:U10">
    <cfRule type="containsText" dxfId="31" priority="33" operator="containsText" text="F12">
      <formula>NOT(ISERROR(SEARCH("F12",S1)))</formula>
    </cfRule>
    <cfRule type="containsText" dxfId="30" priority="34" operator="containsText" text="F11">
      <formula>NOT(ISERROR(SEARCH("F11",S1)))</formula>
    </cfRule>
    <cfRule type="containsText" dxfId="29" priority="35" operator="containsText" text="F10">
      <formula>NOT(ISERROR(SEARCH("F10",S1)))</formula>
    </cfRule>
    <cfRule type="containsText" dxfId="28" priority="36" operator="containsText" text="F9">
      <formula>NOT(ISERROR(SEARCH("F9",S1)))</formula>
    </cfRule>
    <cfRule type="cellIs" dxfId="27" priority="37" operator="equal">
      <formula>"F7"</formula>
    </cfRule>
    <cfRule type="containsText" dxfId="26" priority="38" operator="containsText" text="F8">
      <formula>NOT(ISERROR(SEARCH("F8",S1)))</formula>
    </cfRule>
    <cfRule type="containsText" dxfId="25" priority="39" operator="containsText" text="F6">
      <formula>NOT(ISERROR(SEARCH("F6",S1)))</formula>
    </cfRule>
    <cfRule type="containsText" dxfId="24" priority="40" operator="containsText" text="F5">
      <formula>NOT(ISERROR(SEARCH("F5",S1)))</formula>
    </cfRule>
  </conditionalFormatting>
  <conditionalFormatting sqref="Y1:AC1 AE1:AI1 W2:AI3">
    <cfRule type="containsText" dxfId="23" priority="25" operator="containsText" text="F12">
      <formula>NOT(ISERROR(SEARCH("F12",W1)))</formula>
    </cfRule>
    <cfRule type="containsText" dxfId="22" priority="26" operator="containsText" text="F11">
      <formula>NOT(ISERROR(SEARCH("F11",W1)))</formula>
    </cfRule>
    <cfRule type="containsText" dxfId="21" priority="27" operator="containsText" text="F10">
      <formula>NOT(ISERROR(SEARCH("F10",W1)))</formula>
    </cfRule>
    <cfRule type="containsText" dxfId="20" priority="28" operator="containsText" text="F9">
      <formula>NOT(ISERROR(SEARCH("F9",W1)))</formula>
    </cfRule>
    <cfRule type="cellIs" dxfId="19" priority="29" operator="equal">
      <formula>"F7"</formula>
    </cfRule>
    <cfRule type="containsText" dxfId="18" priority="30" operator="containsText" text="F8">
      <formula>NOT(ISERROR(SEARCH("F8",W1)))</formula>
    </cfRule>
    <cfRule type="containsText" dxfId="17" priority="31" operator="containsText" text="F6">
      <formula>NOT(ISERROR(SEARCH("F6",W1)))</formula>
    </cfRule>
    <cfRule type="containsText" dxfId="16" priority="32" operator="containsText" text="F5">
      <formula>NOT(ISERROR(SEARCH("F5",W1)))</formula>
    </cfRule>
  </conditionalFormatting>
  <conditionalFormatting sqref="AO1:AQ4 AK1:AM4">
    <cfRule type="containsText" dxfId="15" priority="17" operator="containsText" text="F12">
      <formula>NOT(ISERROR(SEARCH("F12",AK1)))</formula>
    </cfRule>
    <cfRule type="containsText" dxfId="14" priority="18" operator="containsText" text="F11">
      <formula>NOT(ISERROR(SEARCH("F11",AK1)))</formula>
    </cfRule>
    <cfRule type="containsText" dxfId="13" priority="19" operator="containsText" text="F10">
      <formula>NOT(ISERROR(SEARCH("F10",AK1)))</formula>
    </cfRule>
    <cfRule type="containsText" dxfId="12" priority="20" operator="containsText" text="F9">
      <formula>NOT(ISERROR(SEARCH("F9",AK1)))</formula>
    </cfRule>
    <cfRule type="cellIs" dxfId="11" priority="21" operator="equal">
      <formula>"F7"</formula>
    </cfRule>
    <cfRule type="containsText" dxfId="10" priority="22" operator="containsText" text="F8">
      <formula>NOT(ISERROR(SEARCH("F8",AK1)))</formula>
    </cfRule>
    <cfRule type="containsText" dxfId="9" priority="23" operator="containsText" text="F6">
      <formula>NOT(ISERROR(SEARCH("F6",AK1)))</formula>
    </cfRule>
    <cfRule type="containsText" dxfId="8" priority="24" operator="containsText" text="F5">
      <formula>NOT(ISERROR(SEARCH("F5",AK1)))</formula>
    </cfRule>
  </conditionalFormatting>
  <conditionalFormatting sqref="T8:U8">
    <cfRule type="containsText" dxfId="7" priority="1" operator="containsText" text="F12">
      <formula>NOT(ISERROR(SEARCH("F12",T8)))</formula>
    </cfRule>
    <cfRule type="containsText" dxfId="6" priority="2" operator="containsText" text="F11">
      <formula>NOT(ISERROR(SEARCH("F11",T8)))</formula>
    </cfRule>
    <cfRule type="containsText" dxfId="5" priority="3" operator="containsText" text="F10">
      <formula>NOT(ISERROR(SEARCH("F10",T8)))</formula>
    </cfRule>
    <cfRule type="containsText" dxfId="4" priority="4" operator="containsText" text="F9">
      <formula>NOT(ISERROR(SEARCH("F9",T8)))</formula>
    </cfRule>
    <cfRule type="cellIs" dxfId="3" priority="5" operator="equal">
      <formula>"F7"</formula>
    </cfRule>
    <cfRule type="containsText" dxfId="2" priority="6" operator="containsText" text="F8">
      <formula>NOT(ISERROR(SEARCH("F8",T8)))</formula>
    </cfRule>
    <cfRule type="containsText" dxfId="1" priority="7" operator="containsText" text="F6">
      <formula>NOT(ISERROR(SEARCH("F6",T8)))</formula>
    </cfRule>
    <cfRule type="containsText" dxfId="0" priority="8" operator="containsText" text="F5">
      <formula>NOT(ISERROR(SEARCH("F5",T8)))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6" r:id="rId3" name="Check Box 58">
              <controlPr defaultSize="0" autoFill="0" autoLine="0" autoPict="0">
                <anchor moveWithCells="1">
                  <from>
                    <xdr:col>0</xdr:col>
                    <xdr:colOff>304800</xdr:colOff>
                    <xdr:row>3</xdr:row>
                    <xdr:rowOff>152400</xdr:rowOff>
                  </from>
                  <to>
                    <xdr:col>1</xdr:col>
                    <xdr:colOff>457200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4" r:id="rId4" name="Check Box 836">
              <controlPr defaultSize="0" autoFill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8</xdr:col>
                    <xdr:colOff>292100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5" r:id="rId5" name="Check Box 837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292100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6" r:id="rId6" name="Check Box 838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8</xdr:col>
                    <xdr:colOff>292100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" r:id="rId7" name="Check Box 839">
              <controlPr defaultSize="0" autoFill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8</xdr:col>
                    <xdr:colOff>292100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8" r:id="rId8" name="Check Box 840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8</xdr:col>
                    <xdr:colOff>292100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9" r:id="rId9" name="Check Box 841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8</xdr:col>
                    <xdr:colOff>292100</xdr:colOff>
                    <xdr:row>13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0" r:id="rId10" name="Check Box 842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8</xdr:col>
                    <xdr:colOff>292100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1" r:id="rId11" name="Check Box 843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8</xdr:col>
                    <xdr:colOff>292100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2" r:id="rId12" name="Check Box 844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8</xdr:col>
                    <xdr:colOff>292100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3" r:id="rId13" name="Check Box 845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8</xdr:col>
                    <xdr:colOff>292100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4" r:id="rId14" name="Check Box 846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8</xdr:col>
                    <xdr:colOff>292100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5" r:id="rId15" name="Check Box 847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8</xdr:col>
                    <xdr:colOff>292100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6" r:id="rId16" name="Check Box 848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8</xdr:col>
                    <xdr:colOff>292100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7" r:id="rId17" name="Check Box 849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8</xdr:col>
                    <xdr:colOff>292100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8" r:id="rId18" name="Check Box 850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8</xdr:col>
                    <xdr:colOff>292100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9" r:id="rId19" name="Check Box 851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8</xdr:col>
                    <xdr:colOff>292100</xdr:colOff>
                    <xdr:row>17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0" r:id="rId20" name="Check Box 852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8</xdr:col>
                    <xdr:colOff>292100</xdr:colOff>
                    <xdr:row>18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1" r:id="rId21" name="Check Box 853">
              <controlPr defaultSize="0" autoFill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8</xdr:col>
                    <xdr:colOff>292100</xdr:colOff>
                    <xdr:row>19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2" r:id="rId22" name="Check Box 854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8</xdr:col>
                    <xdr:colOff>292100</xdr:colOff>
                    <xdr:row>20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3" r:id="rId23" name="Check Box 855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8</xdr:col>
                    <xdr:colOff>292100</xdr:colOff>
                    <xdr:row>21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4" r:id="rId24" name="Check Box 856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8</xdr:col>
                    <xdr:colOff>292100</xdr:colOff>
                    <xdr:row>22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5" r:id="rId25" name="Check Box 857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8</xdr:col>
                    <xdr:colOff>292100</xdr:colOff>
                    <xdr:row>23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6" r:id="rId26" name="Check Box 858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8</xdr:col>
                    <xdr:colOff>292100</xdr:colOff>
                    <xdr:row>24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7" r:id="rId27" name="Check Box 859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8</xdr:col>
                    <xdr:colOff>292100</xdr:colOff>
                    <xdr:row>25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8" r:id="rId28" name="Check Box 860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8</xdr:col>
                    <xdr:colOff>292100</xdr:colOff>
                    <xdr:row>26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9" r:id="rId29" name="Check Box 861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8</xdr:col>
                    <xdr:colOff>292100</xdr:colOff>
                    <xdr:row>27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0" r:id="rId30" name="Check Box 862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8</xdr:col>
                    <xdr:colOff>292100</xdr:colOff>
                    <xdr:row>28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1" r:id="rId31" name="Check Box 863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8</xdr:col>
                    <xdr:colOff>292100</xdr:colOff>
                    <xdr:row>29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2" r:id="rId32" name="Check Box 864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8</xdr:col>
                    <xdr:colOff>292100</xdr:colOff>
                    <xdr:row>30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3" r:id="rId33" name="Check Box 865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8</xdr:col>
                    <xdr:colOff>292100</xdr:colOff>
                    <xdr:row>31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4" r:id="rId34" name="Check Box 866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8</xdr:col>
                    <xdr:colOff>292100</xdr:colOff>
                    <xdr:row>32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" r:id="rId35" name="Check Box 867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8</xdr:col>
                    <xdr:colOff>292100</xdr:colOff>
                    <xdr:row>33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6" r:id="rId36" name="Check Box 868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8</xdr:col>
                    <xdr:colOff>292100</xdr:colOff>
                    <xdr:row>34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7" r:id="rId37" name="Check Box 869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8</xdr:col>
                    <xdr:colOff>292100</xdr:colOff>
                    <xdr:row>35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" r:id="rId38" name="Check Box 870">
              <controlPr defaultSize="0" autoFill="0" autoLine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8</xdr:col>
                    <xdr:colOff>292100</xdr:colOff>
                    <xdr:row>36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9" r:id="rId39" name="Check Box 871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8</xdr:col>
                    <xdr:colOff>292100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0" r:id="rId40" name="Check Box 872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8</xdr:col>
                    <xdr:colOff>292100</xdr:colOff>
                    <xdr:row>38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1" r:id="rId41" name="Check Box 873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8</xdr:col>
                    <xdr:colOff>292100</xdr:colOff>
                    <xdr:row>39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2" r:id="rId42" name="Check Box 874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8</xdr:col>
                    <xdr:colOff>292100</xdr:colOff>
                    <xdr:row>40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3" r:id="rId43" name="Check Box 875">
              <controlPr defaultSize="0" autoFill="0" autoLine="0" autoPict="0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8</xdr:col>
                    <xdr:colOff>292100</xdr:colOff>
                    <xdr:row>41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4" r:id="rId44" name="Check Box 876">
              <controlPr defaultSize="0" autoFill="0" autoLine="0" autoPict="0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8</xdr:col>
                    <xdr:colOff>292100</xdr:colOff>
                    <xdr:row>42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5" r:id="rId45" name="Check Box 877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8</xdr:col>
                    <xdr:colOff>292100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6" r:id="rId46" name="Check Box 878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8</xdr:col>
                    <xdr:colOff>292100</xdr:colOff>
                    <xdr:row>44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7" r:id="rId47" name="Check Box 879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8</xdr:col>
                    <xdr:colOff>292100</xdr:colOff>
                    <xdr:row>45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" r:id="rId48" name="Check Box 880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8</xdr:col>
                    <xdr:colOff>292100</xdr:colOff>
                    <xdr:row>46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" r:id="rId49" name="Check Box 881">
              <controlPr defaultSize="0" autoFill="0" autoLine="0" autoPict="0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8</xdr:col>
                    <xdr:colOff>292100</xdr:colOff>
                    <xdr:row>47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0" r:id="rId50" name="Check Box 882">
              <controlPr defaultSize="0" autoFill="0" autoLine="0" autoPict="0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8</xdr:col>
                    <xdr:colOff>292100</xdr:colOff>
                    <xdr:row>48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1" r:id="rId51" name="Check Box 883">
              <controlPr defaultSize="0" autoFill="0" autoLine="0" autoPict="0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8</xdr:col>
                    <xdr:colOff>292100</xdr:colOff>
                    <xdr:row>49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2" r:id="rId52" name="Check Box 884">
              <controlPr defaultSize="0" autoFill="0" autoLine="0" autoPict="0">
                <anchor moveWithCells="1">
                  <from>
                    <xdr:col>8</xdr:col>
                    <xdr:colOff>0</xdr:colOff>
                    <xdr:row>49</xdr:row>
                    <xdr:rowOff>0</xdr:rowOff>
                  </from>
                  <to>
                    <xdr:col>8</xdr:col>
                    <xdr:colOff>292100</xdr:colOff>
                    <xdr:row>50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3" r:id="rId53" name="Check Box 885">
              <controlPr defaultSize="0" autoFill="0" autoLine="0" autoPict="0">
                <anchor moveWithCells="1">
                  <from>
                    <xdr:col>8</xdr:col>
                    <xdr:colOff>0</xdr:colOff>
                    <xdr:row>50</xdr:row>
                    <xdr:rowOff>0</xdr:rowOff>
                  </from>
                  <to>
                    <xdr:col>8</xdr:col>
                    <xdr:colOff>292100</xdr:colOff>
                    <xdr:row>51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" r:id="rId54" name="Check Box 886">
              <controlPr defaultSize="0" autoFill="0" autoLine="0" autoPict="0">
                <anchor moveWithCells="1">
                  <from>
                    <xdr:col>8</xdr:col>
                    <xdr:colOff>0</xdr:colOff>
                    <xdr:row>51</xdr:row>
                    <xdr:rowOff>0</xdr:rowOff>
                  </from>
                  <to>
                    <xdr:col>8</xdr:col>
                    <xdr:colOff>292100</xdr:colOff>
                    <xdr:row>52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5" r:id="rId55" name="Check Box 887">
              <controlPr defaultSize="0" autoFill="0" autoLine="0" autoPict="0">
                <anchor moveWithCells="1">
                  <from>
                    <xdr:col>8</xdr:col>
                    <xdr:colOff>0</xdr:colOff>
                    <xdr:row>52</xdr:row>
                    <xdr:rowOff>0</xdr:rowOff>
                  </from>
                  <to>
                    <xdr:col>8</xdr:col>
                    <xdr:colOff>292100</xdr:colOff>
                    <xdr:row>53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6" r:id="rId56" name="Check Box 888">
              <controlPr defaultSize="0" autoFill="0" autoLine="0" autoPict="0">
                <anchor moveWithCells="1">
                  <from>
                    <xdr:col>8</xdr:col>
                    <xdr:colOff>0</xdr:colOff>
                    <xdr:row>53</xdr:row>
                    <xdr:rowOff>0</xdr:rowOff>
                  </from>
                  <to>
                    <xdr:col>8</xdr:col>
                    <xdr:colOff>292100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7" r:id="rId57" name="Check Box 889">
              <controlPr defaultSize="0" autoFill="0" autoLine="0" autoPict="0">
                <anchor moveWithCells="1">
                  <from>
                    <xdr:col>8</xdr:col>
                    <xdr:colOff>0</xdr:colOff>
                    <xdr:row>54</xdr:row>
                    <xdr:rowOff>0</xdr:rowOff>
                  </from>
                  <to>
                    <xdr:col>8</xdr:col>
                    <xdr:colOff>292100</xdr:colOff>
                    <xdr:row>55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" r:id="rId58" name="Check Box 890">
              <controlPr defaultSize="0" autoFill="0" autoLine="0" autoPict="0">
                <anchor moveWithCells="1">
                  <from>
                    <xdr:col>8</xdr:col>
                    <xdr:colOff>0</xdr:colOff>
                    <xdr:row>55</xdr:row>
                    <xdr:rowOff>0</xdr:rowOff>
                  </from>
                  <to>
                    <xdr:col>8</xdr:col>
                    <xdr:colOff>292100</xdr:colOff>
                    <xdr:row>56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9" r:id="rId59" name="Check Box 891">
              <controlPr defaultSize="0" autoFill="0" autoLine="0" autoPict="0">
                <anchor moveWithCells="1">
                  <from>
                    <xdr:col>8</xdr:col>
                    <xdr:colOff>0</xdr:colOff>
                    <xdr:row>56</xdr:row>
                    <xdr:rowOff>0</xdr:rowOff>
                  </from>
                  <to>
                    <xdr:col>8</xdr:col>
                    <xdr:colOff>292100</xdr:colOff>
                    <xdr:row>57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0" r:id="rId60" name="Check Box 892">
              <controlPr defaultSize="0" autoFill="0" autoLine="0" autoPict="0">
                <anchor moveWithCells="1">
                  <from>
                    <xdr:col>8</xdr:col>
                    <xdr:colOff>0</xdr:colOff>
                    <xdr:row>57</xdr:row>
                    <xdr:rowOff>0</xdr:rowOff>
                  </from>
                  <to>
                    <xdr:col>8</xdr:col>
                    <xdr:colOff>292100</xdr:colOff>
                    <xdr:row>58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1" r:id="rId61" name="Check Box 893">
              <controlPr defaultSize="0" autoFill="0" autoLine="0" autoPict="0">
                <anchor moveWithCells="1">
                  <from>
                    <xdr:col>8</xdr:col>
                    <xdr:colOff>0</xdr:colOff>
                    <xdr:row>58</xdr:row>
                    <xdr:rowOff>0</xdr:rowOff>
                  </from>
                  <to>
                    <xdr:col>8</xdr:col>
                    <xdr:colOff>292100</xdr:colOff>
                    <xdr:row>59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2" r:id="rId62" name="Check Box 894">
              <controlPr defaultSize="0" autoFill="0" autoLine="0" autoPict="0">
                <anchor moveWithCells="1">
                  <from>
                    <xdr:col>8</xdr:col>
                    <xdr:colOff>0</xdr:colOff>
                    <xdr:row>59</xdr:row>
                    <xdr:rowOff>0</xdr:rowOff>
                  </from>
                  <to>
                    <xdr:col>8</xdr:col>
                    <xdr:colOff>292100</xdr:colOff>
                    <xdr:row>60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3" r:id="rId63" name="Button 895">
              <controlPr defaultSize="0" print="0" autoFill="0" autoPict="0" macro="[0]!CheckAndRemove">
                <anchor moveWithCells="1" sizeWithCells="1">
                  <from>
                    <xdr:col>39</xdr:col>
                    <xdr:colOff>698500</xdr:colOff>
                    <xdr:row>1</xdr:row>
                    <xdr:rowOff>177800</xdr:rowOff>
                  </from>
                  <to>
                    <xdr:col>41</xdr:col>
                    <xdr:colOff>571500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A2C71-BD29-6844-8C00-4E405327CF26}">
  <sheetPr codeName="Sheet7"/>
  <dimension ref="A1:P17"/>
  <sheetViews>
    <sheetView workbookViewId="0">
      <selection activeCell="P9" sqref="P9"/>
    </sheetView>
  </sheetViews>
  <sheetFormatPr baseColWidth="10" defaultColWidth="8.83203125" defaultRowHeight="15" x14ac:dyDescent="0.2"/>
  <cols>
    <col min="1" max="1" width="10.6640625" style="86" bestFit="1" customWidth="1"/>
    <col min="2" max="2" width="8.83203125" style="86"/>
    <col min="3" max="3" width="12.5" style="86" bestFit="1" customWidth="1"/>
    <col min="4" max="4" width="12" style="86" bestFit="1" customWidth="1"/>
    <col min="5" max="5" width="10.33203125" style="86" bestFit="1" customWidth="1"/>
    <col min="6" max="7" width="8.83203125" style="86"/>
    <col min="8" max="8" width="10.6640625" style="86" bestFit="1" customWidth="1"/>
    <col min="9" max="9" width="12" style="86" customWidth="1"/>
    <col min="10" max="10" width="3.1640625" style="86" customWidth="1"/>
    <col min="11" max="11" width="12.5" style="86" bestFit="1" customWidth="1"/>
    <col min="12" max="12" width="12" style="86" bestFit="1" customWidth="1"/>
    <col min="13" max="13" width="2.83203125" style="86" customWidth="1"/>
    <col min="14" max="14" width="10.6640625" style="86" bestFit="1" customWidth="1"/>
    <col min="15" max="15" width="12" style="86" bestFit="1" customWidth="1"/>
    <col min="16" max="16" width="12.6640625" style="86" bestFit="1" customWidth="1"/>
    <col min="17" max="17" width="12" style="86" bestFit="1" customWidth="1"/>
    <col min="18" max="16384" width="8.83203125" style="86"/>
  </cols>
  <sheetData>
    <row r="1" spans="1:16" x14ac:dyDescent="0.2">
      <c r="A1" s="85"/>
      <c r="I1" s="87"/>
      <c r="J1" s="87"/>
    </row>
    <row r="2" spans="1:16" x14ac:dyDescent="0.2">
      <c r="A2" s="85"/>
      <c r="C2" s="101" t="s">
        <v>111</v>
      </c>
      <c r="D2" s="101"/>
      <c r="E2" s="101"/>
      <c r="H2" s="101" t="s">
        <v>112</v>
      </c>
      <c r="I2" s="101"/>
      <c r="J2" s="101"/>
      <c r="K2" s="101"/>
      <c r="L2" s="101"/>
      <c r="M2" s="101"/>
      <c r="N2" s="101"/>
      <c r="O2" s="101"/>
      <c r="P2" s="101"/>
    </row>
    <row r="3" spans="1:16" x14ac:dyDescent="0.2">
      <c r="A3" s="85"/>
      <c r="K3" s="102" t="s">
        <v>113</v>
      </c>
      <c r="L3" s="102"/>
      <c r="O3" s="102" t="s">
        <v>114</v>
      </c>
      <c r="P3" s="102"/>
    </row>
    <row r="4" spans="1:16" x14ac:dyDescent="0.2">
      <c r="C4" s="88" t="s">
        <v>115</v>
      </c>
      <c r="D4" s="88" t="s">
        <v>116</v>
      </c>
      <c r="K4" s="88" t="s">
        <v>115</v>
      </c>
      <c r="L4" s="88" t="s">
        <v>117</v>
      </c>
      <c r="O4" s="88" t="s">
        <v>118</v>
      </c>
      <c r="P4" s="88" t="s">
        <v>117</v>
      </c>
    </row>
    <row r="5" spans="1:16" ht="16" x14ac:dyDescent="0.2">
      <c r="C5" s="89">
        <v>299.1605415496382</v>
      </c>
      <c r="D5" s="89">
        <v>299.1261540512848</v>
      </c>
      <c r="H5" s="86" t="s">
        <v>119</v>
      </c>
      <c r="I5" s="90">
        <v>2.74</v>
      </c>
      <c r="K5" s="91">
        <v>1.4361399657270013E-6</v>
      </c>
      <c r="L5" s="91">
        <v>1.4361399657270013E-6</v>
      </c>
      <c r="O5" s="91">
        <v>-7.1476817130600168E-6</v>
      </c>
      <c r="P5" s="91">
        <v>-7.1476817130600168E-6</v>
      </c>
    </row>
    <row r="6" spans="1:16" x14ac:dyDescent="0.2">
      <c r="C6" s="92" t="s">
        <v>113</v>
      </c>
      <c r="D6" s="92" t="s">
        <v>120</v>
      </c>
      <c r="E6" s="92" t="s">
        <v>121</v>
      </c>
      <c r="H6" s="92" t="s">
        <v>113</v>
      </c>
      <c r="I6" s="92" t="s">
        <v>121</v>
      </c>
      <c r="K6" s="92" t="s">
        <v>122</v>
      </c>
      <c r="L6" s="92" t="s">
        <v>123</v>
      </c>
      <c r="N6" s="92" t="s">
        <v>120</v>
      </c>
      <c r="O6" s="92" t="s">
        <v>122</v>
      </c>
      <c r="P6" s="92" t="s">
        <v>123</v>
      </c>
    </row>
    <row r="7" spans="1:16" ht="16" x14ac:dyDescent="0.2">
      <c r="C7" s="93">
        <v>45292</v>
      </c>
      <c r="D7" s="85">
        <v>45293</v>
      </c>
      <c r="E7" s="94">
        <v>100</v>
      </c>
      <c r="G7" s="95" t="s">
        <v>36</v>
      </c>
      <c r="H7" s="93">
        <v>44988</v>
      </c>
      <c r="I7" s="96">
        <v>-1</v>
      </c>
      <c r="K7" s="86">
        <v>1</v>
      </c>
      <c r="L7" s="86">
        <v>-1</v>
      </c>
      <c r="N7" s="85">
        <v>44988</v>
      </c>
      <c r="O7" s="86">
        <v>1</v>
      </c>
      <c r="P7" s="86">
        <v>-1</v>
      </c>
    </row>
    <row r="8" spans="1:16" ht="16" x14ac:dyDescent="0.2">
      <c r="C8" s="93">
        <v>45658</v>
      </c>
      <c r="D8" s="85">
        <v>45659</v>
      </c>
      <c r="E8" s="94">
        <v>-50</v>
      </c>
      <c r="G8" s="97">
        <v>1</v>
      </c>
      <c r="H8" s="85">
        <v>45354</v>
      </c>
      <c r="I8" s="96">
        <v>2.7400000000000001E-2</v>
      </c>
      <c r="K8" s="86">
        <v>0.96857342865119456</v>
      </c>
      <c r="L8" s="86">
        <v>2.653891194504273E-2</v>
      </c>
      <c r="N8" s="85">
        <v>45355</v>
      </c>
      <c r="O8" s="86">
        <v>0.96843695640563965</v>
      </c>
      <c r="P8" s="86">
        <v>2.6535172605514527E-2</v>
      </c>
    </row>
    <row r="9" spans="1:16" ht="16" x14ac:dyDescent="0.2">
      <c r="C9" s="93">
        <v>46023</v>
      </c>
      <c r="D9" s="85">
        <v>46024</v>
      </c>
      <c r="E9" s="94">
        <v>40</v>
      </c>
      <c r="G9" s="97">
        <v>2</v>
      </c>
      <c r="H9" s="85">
        <v>45719</v>
      </c>
      <c r="I9" s="96">
        <v>2.7400000000000001E-2</v>
      </c>
      <c r="K9" s="86">
        <v>0.93933039903640747</v>
      </c>
      <c r="L9" s="86">
        <v>2.5737652933597567E-2</v>
      </c>
      <c r="N9" s="85">
        <v>45719</v>
      </c>
      <c r="O9" s="86">
        <v>0.93933039903640747</v>
      </c>
      <c r="P9" s="86">
        <v>2.5737652933597567E-2</v>
      </c>
    </row>
    <row r="10" spans="1:16" ht="16" x14ac:dyDescent="0.2">
      <c r="C10" s="93">
        <v>46388</v>
      </c>
      <c r="D10" s="85">
        <v>46391</v>
      </c>
      <c r="E10" s="94">
        <v>30</v>
      </c>
      <c r="G10" s="97">
        <v>3</v>
      </c>
      <c r="H10" s="85">
        <v>46084</v>
      </c>
      <c r="I10" s="96">
        <v>2.7400000000000001E-2</v>
      </c>
      <c r="K10" s="86">
        <v>0.91585367918014526</v>
      </c>
      <c r="L10" s="86">
        <v>2.5094390809535981E-2</v>
      </c>
      <c r="N10" s="85">
        <v>46084</v>
      </c>
      <c r="O10" s="86">
        <v>0.91585367918014526</v>
      </c>
      <c r="P10" s="86">
        <v>2.5094390809535981E-2</v>
      </c>
    </row>
    <row r="11" spans="1:16" ht="16" x14ac:dyDescent="0.2">
      <c r="C11" s="93">
        <v>46753</v>
      </c>
      <c r="D11" s="85">
        <v>46755</v>
      </c>
      <c r="E11" s="94">
        <v>150</v>
      </c>
      <c r="G11" s="97">
        <v>4</v>
      </c>
      <c r="H11" s="85">
        <v>46449</v>
      </c>
      <c r="I11" s="96">
        <v>2.7400000000000001E-2</v>
      </c>
      <c r="K11" s="86">
        <v>0.89368277788162231</v>
      </c>
      <c r="L11" s="86">
        <v>2.4486908113956454E-2</v>
      </c>
      <c r="N11" s="85">
        <v>46449</v>
      </c>
      <c r="O11" s="86">
        <v>0.89368277788162231</v>
      </c>
      <c r="P11" s="86">
        <v>2.4486908113956454E-2</v>
      </c>
    </row>
    <row r="12" spans="1:16" ht="16" x14ac:dyDescent="0.2">
      <c r="C12" s="93">
        <v>47119</v>
      </c>
      <c r="D12" s="85">
        <v>47120</v>
      </c>
      <c r="E12" s="94">
        <v>-40</v>
      </c>
      <c r="G12" s="97">
        <v>5</v>
      </c>
      <c r="H12" s="85">
        <v>46815</v>
      </c>
      <c r="I12" s="96">
        <v>2.7400000000000001E-2</v>
      </c>
      <c r="K12" s="86">
        <v>0.87151092290878296</v>
      </c>
      <c r="L12" s="86">
        <v>2.3879399287700654E-2</v>
      </c>
      <c r="N12" s="85">
        <v>46815</v>
      </c>
      <c r="O12" s="86">
        <v>0.87151092290878296</v>
      </c>
      <c r="P12" s="86">
        <v>2.3879399287700654E-2</v>
      </c>
    </row>
    <row r="13" spans="1:16" ht="16" x14ac:dyDescent="0.2">
      <c r="C13" s="93">
        <v>47484</v>
      </c>
      <c r="D13" s="85">
        <v>47485</v>
      </c>
      <c r="E13" s="94">
        <v>30</v>
      </c>
      <c r="G13" s="97">
        <v>6</v>
      </c>
      <c r="H13" s="85">
        <v>47180</v>
      </c>
      <c r="I13" s="96">
        <v>2.7400000000000001E-2</v>
      </c>
      <c r="K13" s="86">
        <v>0.84988098513304533</v>
      </c>
      <c r="L13" s="86">
        <v>2.3286738992645443E-2</v>
      </c>
      <c r="N13" s="85">
        <v>47182</v>
      </c>
      <c r="O13" s="86">
        <v>0.84976273775100708</v>
      </c>
      <c r="P13" s="86">
        <v>2.3283499014377596E-2</v>
      </c>
    </row>
    <row r="14" spans="1:16" ht="16" x14ac:dyDescent="0.2">
      <c r="C14" s="93">
        <v>47849</v>
      </c>
      <c r="D14" s="85">
        <v>47850</v>
      </c>
      <c r="E14" s="94">
        <v>20</v>
      </c>
      <c r="G14" s="97">
        <v>7</v>
      </c>
      <c r="H14" s="85">
        <v>47545</v>
      </c>
      <c r="I14" s="96">
        <v>2.7400000000000001E-2</v>
      </c>
      <c r="K14" s="86">
        <v>0.8282797604325296</v>
      </c>
      <c r="L14" s="86">
        <v>2.2694865435851311E-2</v>
      </c>
      <c r="N14" s="85">
        <v>47546</v>
      </c>
      <c r="O14" s="86">
        <v>0.82822120189666748</v>
      </c>
      <c r="P14" s="86">
        <v>2.269326093196869E-2</v>
      </c>
    </row>
    <row r="15" spans="1:16" ht="16" x14ac:dyDescent="0.2">
      <c r="C15" s="93">
        <v>48214</v>
      </c>
      <c r="D15" s="85">
        <v>48215</v>
      </c>
      <c r="E15" s="94">
        <v>40</v>
      </c>
      <c r="G15" s="97">
        <v>8</v>
      </c>
      <c r="H15" s="85">
        <v>47910</v>
      </c>
      <c r="I15" s="96">
        <v>2.7400000000000001E-2</v>
      </c>
      <c r="K15" s="86">
        <v>0.80688142776489258</v>
      </c>
      <c r="L15" s="86">
        <v>2.2108551120758057E-2</v>
      </c>
      <c r="N15" s="85">
        <v>47910</v>
      </c>
      <c r="O15" s="86">
        <v>0.80688142776489258</v>
      </c>
      <c r="P15" s="86">
        <v>2.2108551120758057E-2</v>
      </c>
    </row>
    <row r="16" spans="1:16" ht="16" x14ac:dyDescent="0.2">
      <c r="C16" s="93">
        <v>48580</v>
      </c>
      <c r="D16" s="85">
        <v>48582</v>
      </c>
      <c r="E16" s="94">
        <v>20</v>
      </c>
      <c r="G16" s="97">
        <v>9</v>
      </c>
      <c r="H16" s="85">
        <v>48276</v>
      </c>
      <c r="I16" s="96">
        <v>2.7400000000000001E-2</v>
      </c>
      <c r="K16" s="86">
        <v>0.78467398881912231</v>
      </c>
      <c r="L16" s="86">
        <v>2.1500067293643951E-2</v>
      </c>
      <c r="N16" s="85">
        <v>48276</v>
      </c>
      <c r="O16" s="86">
        <v>0.78467398881912231</v>
      </c>
      <c r="P16" s="86">
        <v>2.1500067293643951E-2</v>
      </c>
    </row>
    <row r="17" spans="4:16" ht="16" x14ac:dyDescent="0.2">
      <c r="D17" s="85"/>
      <c r="G17" s="97">
        <v>10</v>
      </c>
      <c r="H17" s="85">
        <v>48641</v>
      </c>
      <c r="I17" s="96">
        <v>1.0274000000000001</v>
      </c>
      <c r="K17" s="86">
        <v>0.76374727487564087</v>
      </c>
      <c r="L17" s="86">
        <v>0.78467395020723352</v>
      </c>
      <c r="N17" s="85">
        <v>48641</v>
      </c>
      <c r="O17" s="86">
        <v>0.76374727487564087</v>
      </c>
      <c r="P17" s="86">
        <v>0.78467395020723352</v>
      </c>
    </row>
  </sheetData>
  <mergeCells count="4">
    <mergeCell ref="C2:E2"/>
    <mergeCell ref="H2:P2"/>
    <mergeCell ref="K3:L3"/>
    <mergeCell ref="O3:P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509C7-1912-5645-9932-240D915C2362}">
  <sheetPr codeName="Sheet1"/>
  <dimension ref="B2:H258"/>
  <sheetViews>
    <sheetView topLeftCell="A114" workbookViewId="0">
      <selection activeCell="D13" sqref="D13:D258"/>
    </sheetView>
  </sheetViews>
  <sheetFormatPr baseColWidth="10" defaultRowHeight="16" x14ac:dyDescent="0.2"/>
  <cols>
    <col min="2" max="2" width="15.33203125" bestFit="1" customWidth="1"/>
    <col min="3" max="3" width="24.1640625" bestFit="1" customWidth="1"/>
    <col min="6" max="6" width="15.83203125" bestFit="1" customWidth="1"/>
  </cols>
  <sheetData>
    <row r="2" spans="2:8" x14ac:dyDescent="0.2">
      <c r="F2" s="23" t="s">
        <v>0</v>
      </c>
      <c r="G2" s="19">
        <v>2023</v>
      </c>
    </row>
    <row r="3" spans="2:8" x14ac:dyDescent="0.2">
      <c r="F3" s="23" t="s">
        <v>7</v>
      </c>
      <c r="G3" s="19">
        <v>40</v>
      </c>
    </row>
    <row r="4" spans="2:8" x14ac:dyDescent="0.2">
      <c r="B4" s="23" t="s">
        <v>8</v>
      </c>
      <c r="C4" s="23">
        <f>TARGETStartYear</f>
        <v>2023</v>
      </c>
    </row>
    <row r="5" spans="2:8" x14ac:dyDescent="0.2">
      <c r="B5" s="19" t="s">
        <v>1</v>
      </c>
      <c r="C5" s="20">
        <f>DATE(C4,1,1)</f>
        <v>44927</v>
      </c>
    </row>
    <row r="6" spans="2:8" x14ac:dyDescent="0.2">
      <c r="B6" s="19" t="s">
        <v>2</v>
      </c>
      <c r="C6" s="20" cm="1">
        <f t="array" ref="C6">Easter(C4)-2</f>
        <v>45023</v>
      </c>
    </row>
    <row r="7" spans="2:8" x14ac:dyDescent="0.2">
      <c r="B7" s="19" t="s">
        <v>3</v>
      </c>
      <c r="C7" s="20" cm="1">
        <f t="array" ref="C7">Easter(C4)+1</f>
        <v>45026</v>
      </c>
      <c r="G7" t="s">
        <v>15</v>
      </c>
      <c r="H7">
        <f>SUM(TARGETCalendar)</f>
        <v>12891456</v>
      </c>
    </row>
    <row r="8" spans="2:8" x14ac:dyDescent="0.2">
      <c r="B8" s="19" t="s">
        <v>4</v>
      </c>
      <c r="C8" s="20">
        <f>DATE(C4,5,1)</f>
        <v>45047</v>
      </c>
    </row>
    <row r="9" spans="2:8" x14ac:dyDescent="0.2">
      <c r="B9" s="19" t="s">
        <v>5</v>
      </c>
      <c r="C9" s="20">
        <f>DATE(C4,12,25)</f>
        <v>45285</v>
      </c>
    </row>
    <row r="10" spans="2:8" x14ac:dyDescent="0.2">
      <c r="B10" s="19" t="s">
        <v>6</v>
      </c>
      <c r="C10" s="20">
        <f>DATE(C4,12,26)</f>
        <v>45286</v>
      </c>
    </row>
    <row r="11" spans="2:8" x14ac:dyDescent="0.2">
      <c r="D11" s="2"/>
    </row>
    <row r="12" spans="2:8" x14ac:dyDescent="0.2">
      <c r="B12" s="3" t="s">
        <v>8</v>
      </c>
      <c r="C12" s="3" t="s">
        <v>9</v>
      </c>
      <c r="D12" s="4" t="s">
        <v>10</v>
      </c>
    </row>
    <row r="13" spans="2:8" x14ac:dyDescent="0.2">
      <c r="B13" t="s">
        <v>1</v>
      </c>
      <c r="C13">
        <v>2023</v>
      </c>
      <c r="D13" s="1">
        <v>44927</v>
      </c>
    </row>
    <row r="14" spans="2:8" x14ac:dyDescent="0.2">
      <c r="B14" t="s">
        <v>2</v>
      </c>
      <c r="C14">
        <v>2023</v>
      </c>
      <c r="D14" s="1">
        <v>45023</v>
      </c>
    </row>
    <row r="15" spans="2:8" x14ac:dyDescent="0.2">
      <c r="B15" t="s">
        <v>11</v>
      </c>
      <c r="C15">
        <v>2023</v>
      </c>
      <c r="D15" s="1">
        <v>45026</v>
      </c>
    </row>
    <row r="16" spans="2:8" x14ac:dyDescent="0.2">
      <c r="B16" t="s">
        <v>12</v>
      </c>
      <c r="C16">
        <v>2023</v>
      </c>
      <c r="D16" s="1">
        <v>45047</v>
      </c>
    </row>
    <row r="17" spans="2:4" x14ac:dyDescent="0.2">
      <c r="B17" t="s">
        <v>13</v>
      </c>
      <c r="C17">
        <v>2023</v>
      </c>
      <c r="D17" s="1">
        <v>45285</v>
      </c>
    </row>
    <row r="18" spans="2:4" x14ac:dyDescent="0.2">
      <c r="B18" t="s">
        <v>14</v>
      </c>
      <c r="C18">
        <v>2023</v>
      </c>
      <c r="D18" s="1">
        <v>45286</v>
      </c>
    </row>
    <row r="19" spans="2:4" x14ac:dyDescent="0.2">
      <c r="B19" t="s">
        <v>1</v>
      </c>
      <c r="C19">
        <v>2024</v>
      </c>
      <c r="D19" s="1">
        <v>45292</v>
      </c>
    </row>
    <row r="20" spans="2:4" x14ac:dyDescent="0.2">
      <c r="B20" t="s">
        <v>2</v>
      </c>
      <c r="C20">
        <v>2024</v>
      </c>
      <c r="D20" s="1">
        <v>45380</v>
      </c>
    </row>
    <row r="21" spans="2:4" x14ac:dyDescent="0.2">
      <c r="B21" t="s">
        <v>11</v>
      </c>
      <c r="C21">
        <v>2024</v>
      </c>
      <c r="D21" s="1">
        <v>45383</v>
      </c>
    </row>
    <row r="22" spans="2:4" x14ac:dyDescent="0.2">
      <c r="B22" t="s">
        <v>12</v>
      </c>
      <c r="C22">
        <v>2024</v>
      </c>
      <c r="D22" s="1">
        <v>45413</v>
      </c>
    </row>
    <row r="23" spans="2:4" x14ac:dyDescent="0.2">
      <c r="B23" t="s">
        <v>13</v>
      </c>
      <c r="C23">
        <v>2024</v>
      </c>
      <c r="D23" s="1">
        <v>45651</v>
      </c>
    </row>
    <row r="24" spans="2:4" x14ac:dyDescent="0.2">
      <c r="B24" t="s">
        <v>14</v>
      </c>
      <c r="C24">
        <v>2024</v>
      </c>
      <c r="D24" s="1">
        <v>45652</v>
      </c>
    </row>
    <row r="25" spans="2:4" x14ac:dyDescent="0.2">
      <c r="B25" t="s">
        <v>1</v>
      </c>
      <c r="C25">
        <v>2025</v>
      </c>
      <c r="D25" s="1">
        <v>45658</v>
      </c>
    </row>
    <row r="26" spans="2:4" x14ac:dyDescent="0.2">
      <c r="B26" t="s">
        <v>2</v>
      </c>
      <c r="C26">
        <v>2025</v>
      </c>
      <c r="D26" s="1">
        <v>45765</v>
      </c>
    </row>
    <row r="27" spans="2:4" x14ac:dyDescent="0.2">
      <c r="B27" t="s">
        <v>11</v>
      </c>
      <c r="C27">
        <v>2025</v>
      </c>
      <c r="D27" s="1">
        <v>45768</v>
      </c>
    </row>
    <row r="28" spans="2:4" x14ac:dyDescent="0.2">
      <c r="B28" t="s">
        <v>12</v>
      </c>
      <c r="C28">
        <v>2025</v>
      </c>
      <c r="D28" s="1">
        <v>45778</v>
      </c>
    </row>
    <row r="29" spans="2:4" x14ac:dyDescent="0.2">
      <c r="B29" t="s">
        <v>13</v>
      </c>
      <c r="C29">
        <v>2025</v>
      </c>
      <c r="D29" s="1">
        <v>46016</v>
      </c>
    </row>
    <row r="30" spans="2:4" x14ac:dyDescent="0.2">
      <c r="B30" t="s">
        <v>14</v>
      </c>
      <c r="C30">
        <v>2025</v>
      </c>
      <c r="D30" s="1">
        <v>46017</v>
      </c>
    </row>
    <row r="31" spans="2:4" x14ac:dyDescent="0.2">
      <c r="B31" t="s">
        <v>1</v>
      </c>
      <c r="C31">
        <v>2026</v>
      </c>
      <c r="D31" s="1">
        <v>46023</v>
      </c>
    </row>
    <row r="32" spans="2:4" x14ac:dyDescent="0.2">
      <c r="B32" t="s">
        <v>2</v>
      </c>
      <c r="C32">
        <v>2026</v>
      </c>
      <c r="D32" s="1">
        <v>46115</v>
      </c>
    </row>
    <row r="33" spans="2:4" x14ac:dyDescent="0.2">
      <c r="B33" t="s">
        <v>11</v>
      </c>
      <c r="C33">
        <v>2026</v>
      </c>
      <c r="D33" s="1">
        <v>46118</v>
      </c>
    </row>
    <row r="34" spans="2:4" x14ac:dyDescent="0.2">
      <c r="B34" t="s">
        <v>12</v>
      </c>
      <c r="C34">
        <v>2026</v>
      </c>
      <c r="D34" s="1">
        <v>46143</v>
      </c>
    </row>
    <row r="35" spans="2:4" x14ac:dyDescent="0.2">
      <c r="B35" t="s">
        <v>13</v>
      </c>
      <c r="C35">
        <v>2026</v>
      </c>
      <c r="D35" s="1">
        <v>46381</v>
      </c>
    </row>
    <row r="36" spans="2:4" x14ac:dyDescent="0.2">
      <c r="B36" t="s">
        <v>14</v>
      </c>
      <c r="C36">
        <v>2026</v>
      </c>
      <c r="D36" s="1">
        <v>46382</v>
      </c>
    </row>
    <row r="37" spans="2:4" x14ac:dyDescent="0.2">
      <c r="B37" t="s">
        <v>1</v>
      </c>
      <c r="C37">
        <v>2027</v>
      </c>
      <c r="D37" s="1">
        <v>46388</v>
      </c>
    </row>
    <row r="38" spans="2:4" x14ac:dyDescent="0.2">
      <c r="B38" t="s">
        <v>2</v>
      </c>
      <c r="C38">
        <v>2027</v>
      </c>
      <c r="D38" s="1">
        <v>46472</v>
      </c>
    </row>
    <row r="39" spans="2:4" x14ac:dyDescent="0.2">
      <c r="B39" t="s">
        <v>11</v>
      </c>
      <c r="C39">
        <v>2027</v>
      </c>
      <c r="D39" s="1">
        <v>46475</v>
      </c>
    </row>
    <row r="40" spans="2:4" x14ac:dyDescent="0.2">
      <c r="B40" t="s">
        <v>12</v>
      </c>
      <c r="C40">
        <v>2027</v>
      </c>
      <c r="D40" s="1">
        <v>46508</v>
      </c>
    </row>
    <row r="41" spans="2:4" x14ac:dyDescent="0.2">
      <c r="B41" t="s">
        <v>13</v>
      </c>
      <c r="C41">
        <v>2027</v>
      </c>
      <c r="D41" s="1">
        <v>46746</v>
      </c>
    </row>
    <row r="42" spans="2:4" x14ac:dyDescent="0.2">
      <c r="B42" t="s">
        <v>14</v>
      </c>
      <c r="C42">
        <v>2027</v>
      </c>
      <c r="D42" s="1">
        <v>46747</v>
      </c>
    </row>
    <row r="43" spans="2:4" x14ac:dyDescent="0.2">
      <c r="B43" t="s">
        <v>1</v>
      </c>
      <c r="C43">
        <v>2028</v>
      </c>
      <c r="D43" s="1">
        <v>46753</v>
      </c>
    </row>
    <row r="44" spans="2:4" x14ac:dyDescent="0.2">
      <c r="B44" t="s">
        <v>2</v>
      </c>
      <c r="C44">
        <v>2028</v>
      </c>
      <c r="D44" s="1">
        <v>46857</v>
      </c>
    </row>
    <row r="45" spans="2:4" x14ac:dyDescent="0.2">
      <c r="B45" t="s">
        <v>11</v>
      </c>
      <c r="C45">
        <v>2028</v>
      </c>
      <c r="D45" s="1">
        <v>46860</v>
      </c>
    </row>
    <row r="46" spans="2:4" x14ac:dyDescent="0.2">
      <c r="B46" t="s">
        <v>12</v>
      </c>
      <c r="C46">
        <v>2028</v>
      </c>
      <c r="D46" s="1">
        <v>46874</v>
      </c>
    </row>
    <row r="47" spans="2:4" x14ac:dyDescent="0.2">
      <c r="B47" t="s">
        <v>13</v>
      </c>
      <c r="C47">
        <v>2028</v>
      </c>
      <c r="D47" s="1">
        <v>47112</v>
      </c>
    </row>
    <row r="48" spans="2:4" x14ac:dyDescent="0.2">
      <c r="B48" t="s">
        <v>14</v>
      </c>
      <c r="C48">
        <v>2028</v>
      </c>
      <c r="D48" s="1">
        <v>47113</v>
      </c>
    </row>
    <row r="49" spans="2:4" x14ac:dyDescent="0.2">
      <c r="B49" t="s">
        <v>1</v>
      </c>
      <c r="C49">
        <v>2029</v>
      </c>
      <c r="D49" s="1">
        <v>47119</v>
      </c>
    </row>
    <row r="50" spans="2:4" x14ac:dyDescent="0.2">
      <c r="B50" t="s">
        <v>2</v>
      </c>
      <c r="C50">
        <v>2029</v>
      </c>
      <c r="D50" s="1">
        <v>47207</v>
      </c>
    </row>
    <row r="51" spans="2:4" x14ac:dyDescent="0.2">
      <c r="B51" t="s">
        <v>11</v>
      </c>
      <c r="C51">
        <v>2029</v>
      </c>
      <c r="D51" s="1">
        <v>47210</v>
      </c>
    </row>
    <row r="52" spans="2:4" x14ac:dyDescent="0.2">
      <c r="B52" t="s">
        <v>12</v>
      </c>
      <c r="C52">
        <v>2029</v>
      </c>
      <c r="D52" s="1">
        <v>47239</v>
      </c>
    </row>
    <row r="53" spans="2:4" x14ac:dyDescent="0.2">
      <c r="B53" t="s">
        <v>13</v>
      </c>
      <c r="C53">
        <v>2029</v>
      </c>
      <c r="D53" s="1">
        <v>47477</v>
      </c>
    </row>
    <row r="54" spans="2:4" x14ac:dyDescent="0.2">
      <c r="B54" t="s">
        <v>14</v>
      </c>
      <c r="C54">
        <v>2029</v>
      </c>
      <c r="D54" s="1">
        <v>47478</v>
      </c>
    </row>
    <row r="55" spans="2:4" x14ac:dyDescent="0.2">
      <c r="B55" t="s">
        <v>1</v>
      </c>
      <c r="C55">
        <v>2030</v>
      </c>
      <c r="D55" s="1">
        <v>47484</v>
      </c>
    </row>
    <row r="56" spans="2:4" x14ac:dyDescent="0.2">
      <c r="B56" t="s">
        <v>2</v>
      </c>
      <c r="C56">
        <v>2030</v>
      </c>
      <c r="D56" s="1">
        <v>47592</v>
      </c>
    </row>
    <row r="57" spans="2:4" x14ac:dyDescent="0.2">
      <c r="B57" t="s">
        <v>11</v>
      </c>
      <c r="C57">
        <v>2030</v>
      </c>
      <c r="D57" s="1">
        <v>47595</v>
      </c>
    </row>
    <row r="58" spans="2:4" x14ac:dyDescent="0.2">
      <c r="B58" t="s">
        <v>12</v>
      </c>
      <c r="C58">
        <v>2030</v>
      </c>
      <c r="D58" s="1">
        <v>47604</v>
      </c>
    </row>
    <row r="59" spans="2:4" x14ac:dyDescent="0.2">
      <c r="B59" t="s">
        <v>13</v>
      </c>
      <c r="C59">
        <v>2030</v>
      </c>
      <c r="D59" s="1">
        <v>47842</v>
      </c>
    </row>
    <row r="60" spans="2:4" x14ac:dyDescent="0.2">
      <c r="B60" t="s">
        <v>14</v>
      </c>
      <c r="C60">
        <v>2030</v>
      </c>
      <c r="D60" s="1">
        <v>47843</v>
      </c>
    </row>
    <row r="61" spans="2:4" x14ac:dyDescent="0.2">
      <c r="B61" t="s">
        <v>1</v>
      </c>
      <c r="C61">
        <v>2031</v>
      </c>
      <c r="D61" s="1">
        <v>47849</v>
      </c>
    </row>
    <row r="62" spans="2:4" x14ac:dyDescent="0.2">
      <c r="B62" t="s">
        <v>2</v>
      </c>
      <c r="C62">
        <v>2031</v>
      </c>
      <c r="D62" s="1">
        <v>47949</v>
      </c>
    </row>
    <row r="63" spans="2:4" x14ac:dyDescent="0.2">
      <c r="B63" t="s">
        <v>11</v>
      </c>
      <c r="C63">
        <v>2031</v>
      </c>
      <c r="D63" s="1">
        <v>47952</v>
      </c>
    </row>
    <row r="64" spans="2:4" x14ac:dyDescent="0.2">
      <c r="B64" t="s">
        <v>12</v>
      </c>
      <c r="C64">
        <v>2031</v>
      </c>
      <c r="D64" s="1">
        <v>47969</v>
      </c>
    </row>
    <row r="65" spans="2:4" x14ac:dyDescent="0.2">
      <c r="B65" t="s">
        <v>13</v>
      </c>
      <c r="C65">
        <v>2031</v>
      </c>
      <c r="D65" s="1">
        <v>48207</v>
      </c>
    </row>
    <row r="66" spans="2:4" x14ac:dyDescent="0.2">
      <c r="B66" t="s">
        <v>14</v>
      </c>
      <c r="C66">
        <v>2031</v>
      </c>
      <c r="D66" s="1">
        <v>48208</v>
      </c>
    </row>
    <row r="67" spans="2:4" x14ac:dyDescent="0.2">
      <c r="B67" t="s">
        <v>1</v>
      </c>
      <c r="C67">
        <v>2032</v>
      </c>
      <c r="D67" s="1">
        <v>48214</v>
      </c>
    </row>
    <row r="68" spans="2:4" x14ac:dyDescent="0.2">
      <c r="B68" t="s">
        <v>2</v>
      </c>
      <c r="C68">
        <v>2032</v>
      </c>
      <c r="D68" s="1">
        <v>48299</v>
      </c>
    </row>
    <row r="69" spans="2:4" x14ac:dyDescent="0.2">
      <c r="B69" t="s">
        <v>11</v>
      </c>
      <c r="C69">
        <v>2032</v>
      </c>
      <c r="D69" s="1">
        <v>48302</v>
      </c>
    </row>
    <row r="70" spans="2:4" x14ac:dyDescent="0.2">
      <c r="B70" t="s">
        <v>12</v>
      </c>
      <c r="C70">
        <v>2032</v>
      </c>
      <c r="D70" s="1">
        <v>48335</v>
      </c>
    </row>
    <row r="71" spans="2:4" x14ac:dyDescent="0.2">
      <c r="B71" t="s">
        <v>13</v>
      </c>
      <c r="C71">
        <v>2032</v>
      </c>
      <c r="D71" s="1">
        <v>48573</v>
      </c>
    </row>
    <row r="72" spans="2:4" x14ac:dyDescent="0.2">
      <c r="B72" t="s">
        <v>14</v>
      </c>
      <c r="C72">
        <v>2032</v>
      </c>
      <c r="D72" s="1">
        <v>48574</v>
      </c>
    </row>
    <row r="73" spans="2:4" x14ac:dyDescent="0.2">
      <c r="B73" t="s">
        <v>1</v>
      </c>
      <c r="C73">
        <v>2033</v>
      </c>
      <c r="D73" s="1">
        <v>48580</v>
      </c>
    </row>
    <row r="74" spans="2:4" x14ac:dyDescent="0.2">
      <c r="B74" t="s">
        <v>2</v>
      </c>
      <c r="C74">
        <v>2033</v>
      </c>
      <c r="D74" s="1">
        <v>48684</v>
      </c>
    </row>
    <row r="75" spans="2:4" x14ac:dyDescent="0.2">
      <c r="B75" t="s">
        <v>11</v>
      </c>
      <c r="C75">
        <v>2033</v>
      </c>
      <c r="D75" s="1">
        <v>48687</v>
      </c>
    </row>
    <row r="76" spans="2:4" x14ac:dyDescent="0.2">
      <c r="B76" t="s">
        <v>12</v>
      </c>
      <c r="C76">
        <v>2033</v>
      </c>
      <c r="D76" s="1">
        <v>48700</v>
      </c>
    </row>
    <row r="77" spans="2:4" x14ac:dyDescent="0.2">
      <c r="B77" t="s">
        <v>13</v>
      </c>
      <c r="C77">
        <v>2033</v>
      </c>
      <c r="D77" s="1">
        <v>48938</v>
      </c>
    </row>
    <row r="78" spans="2:4" x14ac:dyDescent="0.2">
      <c r="B78" t="s">
        <v>14</v>
      </c>
      <c r="C78">
        <v>2033</v>
      </c>
      <c r="D78" s="1">
        <v>48939</v>
      </c>
    </row>
    <row r="79" spans="2:4" x14ac:dyDescent="0.2">
      <c r="B79" t="s">
        <v>1</v>
      </c>
      <c r="C79">
        <v>2034</v>
      </c>
      <c r="D79" s="1">
        <v>48945</v>
      </c>
    </row>
    <row r="80" spans="2:4" x14ac:dyDescent="0.2">
      <c r="B80" t="s">
        <v>2</v>
      </c>
      <c r="C80">
        <v>2034</v>
      </c>
      <c r="D80" s="1">
        <v>49041</v>
      </c>
    </row>
    <row r="81" spans="2:4" x14ac:dyDescent="0.2">
      <c r="B81" t="s">
        <v>11</v>
      </c>
      <c r="C81">
        <v>2034</v>
      </c>
      <c r="D81" s="1">
        <v>49044</v>
      </c>
    </row>
    <row r="82" spans="2:4" x14ac:dyDescent="0.2">
      <c r="B82" t="s">
        <v>12</v>
      </c>
      <c r="C82">
        <v>2034</v>
      </c>
      <c r="D82" s="1">
        <v>49065</v>
      </c>
    </row>
    <row r="83" spans="2:4" x14ac:dyDescent="0.2">
      <c r="B83" t="s">
        <v>13</v>
      </c>
      <c r="C83">
        <v>2034</v>
      </c>
      <c r="D83" s="1">
        <v>49303</v>
      </c>
    </row>
    <row r="84" spans="2:4" x14ac:dyDescent="0.2">
      <c r="B84" t="s">
        <v>14</v>
      </c>
      <c r="C84">
        <v>2034</v>
      </c>
      <c r="D84" s="1">
        <v>49304</v>
      </c>
    </row>
    <row r="85" spans="2:4" x14ac:dyDescent="0.2">
      <c r="B85" t="s">
        <v>1</v>
      </c>
      <c r="C85">
        <v>2035</v>
      </c>
      <c r="D85" s="1">
        <v>49310</v>
      </c>
    </row>
    <row r="86" spans="2:4" x14ac:dyDescent="0.2">
      <c r="B86" t="s">
        <v>2</v>
      </c>
      <c r="C86">
        <v>2035</v>
      </c>
      <c r="D86" s="1">
        <v>49391</v>
      </c>
    </row>
    <row r="87" spans="2:4" x14ac:dyDescent="0.2">
      <c r="B87" t="s">
        <v>11</v>
      </c>
      <c r="C87">
        <v>2035</v>
      </c>
      <c r="D87" s="1">
        <v>49394</v>
      </c>
    </row>
    <row r="88" spans="2:4" x14ac:dyDescent="0.2">
      <c r="B88" t="s">
        <v>12</v>
      </c>
      <c r="C88">
        <v>2035</v>
      </c>
      <c r="D88" s="1">
        <v>49430</v>
      </c>
    </row>
    <row r="89" spans="2:4" x14ac:dyDescent="0.2">
      <c r="B89" t="s">
        <v>13</v>
      </c>
      <c r="C89">
        <v>2035</v>
      </c>
      <c r="D89" s="1">
        <v>49668</v>
      </c>
    </row>
    <row r="90" spans="2:4" x14ac:dyDescent="0.2">
      <c r="B90" t="s">
        <v>14</v>
      </c>
      <c r="C90">
        <v>2035</v>
      </c>
      <c r="D90" s="1">
        <v>49669</v>
      </c>
    </row>
    <row r="91" spans="2:4" x14ac:dyDescent="0.2">
      <c r="B91" t="s">
        <v>1</v>
      </c>
      <c r="C91">
        <v>2036</v>
      </c>
      <c r="D91" s="1">
        <v>49675</v>
      </c>
    </row>
    <row r="92" spans="2:4" x14ac:dyDescent="0.2">
      <c r="B92" t="s">
        <v>2</v>
      </c>
      <c r="C92">
        <v>2036</v>
      </c>
      <c r="D92" s="1">
        <v>49776</v>
      </c>
    </row>
    <row r="93" spans="2:4" x14ac:dyDescent="0.2">
      <c r="B93" t="s">
        <v>11</v>
      </c>
      <c r="C93">
        <v>2036</v>
      </c>
      <c r="D93" s="1">
        <v>49779</v>
      </c>
    </row>
    <row r="94" spans="2:4" x14ac:dyDescent="0.2">
      <c r="B94" t="s">
        <v>12</v>
      </c>
      <c r="C94">
        <v>2036</v>
      </c>
      <c r="D94" s="1">
        <v>49796</v>
      </c>
    </row>
    <row r="95" spans="2:4" x14ac:dyDescent="0.2">
      <c r="B95" t="s">
        <v>13</v>
      </c>
      <c r="C95">
        <v>2036</v>
      </c>
      <c r="D95" s="1">
        <v>50034</v>
      </c>
    </row>
    <row r="96" spans="2:4" x14ac:dyDescent="0.2">
      <c r="B96" t="s">
        <v>14</v>
      </c>
      <c r="C96">
        <v>2036</v>
      </c>
      <c r="D96" s="1">
        <v>50035</v>
      </c>
    </row>
    <row r="97" spans="2:4" x14ac:dyDescent="0.2">
      <c r="B97" t="s">
        <v>1</v>
      </c>
      <c r="C97">
        <v>2037</v>
      </c>
      <c r="D97" s="1">
        <v>50041</v>
      </c>
    </row>
    <row r="98" spans="2:4" x14ac:dyDescent="0.2">
      <c r="B98" t="s">
        <v>2</v>
      </c>
      <c r="C98">
        <v>2037</v>
      </c>
      <c r="D98" s="1">
        <v>50133</v>
      </c>
    </row>
    <row r="99" spans="2:4" x14ac:dyDescent="0.2">
      <c r="B99" t="s">
        <v>11</v>
      </c>
      <c r="C99">
        <v>2037</v>
      </c>
      <c r="D99" s="1">
        <v>50136</v>
      </c>
    </row>
    <row r="100" spans="2:4" x14ac:dyDescent="0.2">
      <c r="B100" t="s">
        <v>12</v>
      </c>
      <c r="C100">
        <v>2037</v>
      </c>
      <c r="D100" s="1">
        <v>50161</v>
      </c>
    </row>
    <row r="101" spans="2:4" x14ac:dyDescent="0.2">
      <c r="B101" t="s">
        <v>13</v>
      </c>
      <c r="C101">
        <v>2037</v>
      </c>
      <c r="D101" s="1">
        <v>50399</v>
      </c>
    </row>
    <row r="102" spans="2:4" x14ac:dyDescent="0.2">
      <c r="B102" t="s">
        <v>14</v>
      </c>
      <c r="C102">
        <v>2037</v>
      </c>
      <c r="D102" s="1">
        <v>50400</v>
      </c>
    </row>
    <row r="103" spans="2:4" x14ac:dyDescent="0.2">
      <c r="B103" t="s">
        <v>1</v>
      </c>
      <c r="C103">
        <v>2038</v>
      </c>
      <c r="D103" s="1">
        <v>50406</v>
      </c>
    </row>
    <row r="104" spans="2:4" x14ac:dyDescent="0.2">
      <c r="B104" t="s">
        <v>2</v>
      </c>
      <c r="C104">
        <v>2038</v>
      </c>
      <c r="D104" s="1">
        <v>50518</v>
      </c>
    </row>
    <row r="105" spans="2:4" x14ac:dyDescent="0.2">
      <c r="B105" t="s">
        <v>11</v>
      </c>
      <c r="C105">
        <v>2038</v>
      </c>
      <c r="D105" s="1">
        <v>50521</v>
      </c>
    </row>
    <row r="106" spans="2:4" x14ac:dyDescent="0.2">
      <c r="B106" t="s">
        <v>12</v>
      </c>
      <c r="C106">
        <v>2038</v>
      </c>
      <c r="D106" s="1">
        <v>50526</v>
      </c>
    </row>
    <row r="107" spans="2:4" x14ac:dyDescent="0.2">
      <c r="B107" t="s">
        <v>13</v>
      </c>
      <c r="C107">
        <v>2038</v>
      </c>
      <c r="D107" s="1">
        <v>50764</v>
      </c>
    </row>
    <row r="108" spans="2:4" x14ac:dyDescent="0.2">
      <c r="B108" t="s">
        <v>14</v>
      </c>
      <c r="C108">
        <v>2038</v>
      </c>
      <c r="D108" s="1">
        <v>50765</v>
      </c>
    </row>
    <row r="109" spans="2:4" x14ac:dyDescent="0.2">
      <c r="B109" t="s">
        <v>1</v>
      </c>
      <c r="C109">
        <v>2039</v>
      </c>
      <c r="D109" s="1">
        <v>50771</v>
      </c>
    </row>
    <row r="110" spans="2:4" x14ac:dyDescent="0.2">
      <c r="B110" t="s">
        <v>2</v>
      </c>
      <c r="C110">
        <v>2039</v>
      </c>
      <c r="D110" s="1">
        <v>50868</v>
      </c>
    </row>
    <row r="111" spans="2:4" x14ac:dyDescent="0.2">
      <c r="B111" t="s">
        <v>11</v>
      </c>
      <c r="C111">
        <v>2039</v>
      </c>
      <c r="D111" s="1">
        <v>50871</v>
      </c>
    </row>
    <row r="112" spans="2:4" x14ac:dyDescent="0.2">
      <c r="B112" t="s">
        <v>12</v>
      </c>
      <c r="C112">
        <v>2039</v>
      </c>
      <c r="D112" s="1">
        <v>50891</v>
      </c>
    </row>
    <row r="113" spans="2:4" x14ac:dyDescent="0.2">
      <c r="B113" t="s">
        <v>13</v>
      </c>
      <c r="C113">
        <v>2039</v>
      </c>
      <c r="D113" s="1">
        <v>51129</v>
      </c>
    </row>
    <row r="114" spans="2:4" x14ac:dyDescent="0.2">
      <c r="B114" t="s">
        <v>14</v>
      </c>
      <c r="C114">
        <v>2039</v>
      </c>
      <c r="D114" s="1">
        <v>51130</v>
      </c>
    </row>
    <row r="115" spans="2:4" x14ac:dyDescent="0.2">
      <c r="B115" t="s">
        <v>1</v>
      </c>
      <c r="C115">
        <v>2040</v>
      </c>
      <c r="D115" s="1">
        <v>51136</v>
      </c>
    </row>
    <row r="116" spans="2:4" x14ac:dyDescent="0.2">
      <c r="B116" t="s">
        <v>2</v>
      </c>
      <c r="C116">
        <v>2040</v>
      </c>
      <c r="D116" s="1">
        <v>51225</v>
      </c>
    </row>
    <row r="117" spans="2:4" x14ac:dyDescent="0.2">
      <c r="B117" t="s">
        <v>11</v>
      </c>
      <c r="C117">
        <v>2040</v>
      </c>
      <c r="D117" s="1">
        <v>51228</v>
      </c>
    </row>
    <row r="118" spans="2:4" x14ac:dyDescent="0.2">
      <c r="B118" t="s">
        <v>12</v>
      </c>
      <c r="C118">
        <v>2040</v>
      </c>
      <c r="D118" s="1">
        <v>51257</v>
      </c>
    </row>
    <row r="119" spans="2:4" x14ac:dyDescent="0.2">
      <c r="B119" t="s">
        <v>13</v>
      </c>
      <c r="C119">
        <v>2040</v>
      </c>
      <c r="D119" s="1">
        <v>51495</v>
      </c>
    </row>
    <row r="120" spans="2:4" x14ac:dyDescent="0.2">
      <c r="B120" t="s">
        <v>14</v>
      </c>
      <c r="C120">
        <v>2040</v>
      </c>
      <c r="D120" s="1">
        <v>51496</v>
      </c>
    </row>
    <row r="121" spans="2:4" x14ac:dyDescent="0.2">
      <c r="B121" t="s">
        <v>1</v>
      </c>
      <c r="C121">
        <v>2041</v>
      </c>
      <c r="D121" s="1">
        <v>51502</v>
      </c>
    </row>
    <row r="122" spans="2:4" x14ac:dyDescent="0.2">
      <c r="B122" t="s">
        <v>2</v>
      </c>
      <c r="C122">
        <v>2041</v>
      </c>
      <c r="D122" s="1">
        <v>51610</v>
      </c>
    </row>
    <row r="123" spans="2:4" x14ac:dyDescent="0.2">
      <c r="B123" t="s">
        <v>11</v>
      </c>
      <c r="C123">
        <v>2041</v>
      </c>
      <c r="D123" s="1">
        <v>51613</v>
      </c>
    </row>
    <row r="124" spans="2:4" x14ac:dyDescent="0.2">
      <c r="B124" t="s">
        <v>12</v>
      </c>
      <c r="C124">
        <v>2041</v>
      </c>
      <c r="D124" s="1">
        <v>51622</v>
      </c>
    </row>
    <row r="125" spans="2:4" x14ac:dyDescent="0.2">
      <c r="B125" t="s">
        <v>13</v>
      </c>
      <c r="C125">
        <v>2041</v>
      </c>
      <c r="D125" s="1">
        <v>51860</v>
      </c>
    </row>
    <row r="126" spans="2:4" x14ac:dyDescent="0.2">
      <c r="B126" t="s">
        <v>14</v>
      </c>
      <c r="C126">
        <v>2041</v>
      </c>
      <c r="D126" s="1">
        <v>51861</v>
      </c>
    </row>
    <row r="127" spans="2:4" x14ac:dyDescent="0.2">
      <c r="B127" t="s">
        <v>1</v>
      </c>
      <c r="C127">
        <v>2042</v>
      </c>
      <c r="D127" s="1">
        <v>51867</v>
      </c>
    </row>
    <row r="128" spans="2:4" x14ac:dyDescent="0.2">
      <c r="B128" t="s">
        <v>2</v>
      </c>
      <c r="C128">
        <v>2042</v>
      </c>
      <c r="D128" s="1">
        <v>51960</v>
      </c>
    </row>
    <row r="129" spans="2:4" x14ac:dyDescent="0.2">
      <c r="B129" t="s">
        <v>11</v>
      </c>
      <c r="C129">
        <v>2042</v>
      </c>
      <c r="D129" s="1">
        <v>51963</v>
      </c>
    </row>
    <row r="130" spans="2:4" x14ac:dyDescent="0.2">
      <c r="B130" t="s">
        <v>12</v>
      </c>
      <c r="C130">
        <v>2042</v>
      </c>
      <c r="D130" s="1">
        <v>51987</v>
      </c>
    </row>
    <row r="131" spans="2:4" x14ac:dyDescent="0.2">
      <c r="B131" t="s">
        <v>13</v>
      </c>
      <c r="C131">
        <v>2042</v>
      </c>
      <c r="D131" s="1">
        <v>52225</v>
      </c>
    </row>
    <row r="132" spans="2:4" x14ac:dyDescent="0.2">
      <c r="B132" t="s">
        <v>14</v>
      </c>
      <c r="C132">
        <v>2042</v>
      </c>
      <c r="D132" s="1">
        <v>52226</v>
      </c>
    </row>
    <row r="133" spans="2:4" x14ac:dyDescent="0.2">
      <c r="B133" t="s">
        <v>1</v>
      </c>
      <c r="C133">
        <v>2043</v>
      </c>
      <c r="D133" s="1">
        <v>52232</v>
      </c>
    </row>
    <row r="134" spans="2:4" x14ac:dyDescent="0.2">
      <c r="B134" t="s">
        <v>2</v>
      </c>
      <c r="C134">
        <v>2043</v>
      </c>
      <c r="D134" s="1">
        <v>52317</v>
      </c>
    </row>
    <row r="135" spans="2:4" x14ac:dyDescent="0.2">
      <c r="B135" t="s">
        <v>11</v>
      </c>
      <c r="C135">
        <v>2043</v>
      </c>
      <c r="D135" s="1">
        <v>52320</v>
      </c>
    </row>
    <row r="136" spans="2:4" x14ac:dyDescent="0.2">
      <c r="B136" t="s">
        <v>12</v>
      </c>
      <c r="C136">
        <v>2043</v>
      </c>
      <c r="D136" s="1">
        <v>52352</v>
      </c>
    </row>
    <row r="137" spans="2:4" x14ac:dyDescent="0.2">
      <c r="B137" t="s">
        <v>13</v>
      </c>
      <c r="C137">
        <v>2043</v>
      </c>
      <c r="D137" s="1">
        <v>52590</v>
      </c>
    </row>
    <row r="138" spans="2:4" x14ac:dyDescent="0.2">
      <c r="B138" t="s">
        <v>14</v>
      </c>
      <c r="C138">
        <v>2043</v>
      </c>
      <c r="D138" s="1">
        <v>52591</v>
      </c>
    </row>
    <row r="139" spans="2:4" x14ac:dyDescent="0.2">
      <c r="B139" t="s">
        <v>1</v>
      </c>
      <c r="C139">
        <v>2044</v>
      </c>
      <c r="D139" s="1">
        <v>52597</v>
      </c>
    </row>
    <row r="140" spans="2:4" x14ac:dyDescent="0.2">
      <c r="B140" t="s">
        <v>2</v>
      </c>
      <c r="C140">
        <v>2044</v>
      </c>
      <c r="D140" s="1">
        <v>52702</v>
      </c>
    </row>
    <row r="141" spans="2:4" x14ac:dyDescent="0.2">
      <c r="B141" t="s">
        <v>11</v>
      </c>
      <c r="C141">
        <v>2044</v>
      </c>
      <c r="D141" s="1">
        <v>52705</v>
      </c>
    </row>
    <row r="142" spans="2:4" x14ac:dyDescent="0.2">
      <c r="B142" t="s">
        <v>12</v>
      </c>
      <c r="C142">
        <v>2044</v>
      </c>
      <c r="D142" s="1">
        <v>52718</v>
      </c>
    </row>
    <row r="143" spans="2:4" x14ac:dyDescent="0.2">
      <c r="B143" t="s">
        <v>13</v>
      </c>
      <c r="C143">
        <v>2044</v>
      </c>
      <c r="D143" s="1">
        <v>52956</v>
      </c>
    </row>
    <row r="144" spans="2:4" x14ac:dyDescent="0.2">
      <c r="B144" t="s">
        <v>14</v>
      </c>
      <c r="C144">
        <v>2044</v>
      </c>
      <c r="D144" s="1">
        <v>52957</v>
      </c>
    </row>
    <row r="145" spans="2:4" x14ac:dyDescent="0.2">
      <c r="B145" t="s">
        <v>1</v>
      </c>
      <c r="C145">
        <v>2045</v>
      </c>
      <c r="D145" s="1">
        <v>52963</v>
      </c>
    </row>
    <row r="146" spans="2:4" x14ac:dyDescent="0.2">
      <c r="B146" t="s">
        <v>2</v>
      </c>
      <c r="C146">
        <v>2045</v>
      </c>
      <c r="D146" s="1">
        <v>53059</v>
      </c>
    </row>
    <row r="147" spans="2:4" x14ac:dyDescent="0.2">
      <c r="B147" t="s">
        <v>11</v>
      </c>
      <c r="C147">
        <v>2045</v>
      </c>
      <c r="D147" s="1">
        <v>53062</v>
      </c>
    </row>
    <row r="148" spans="2:4" x14ac:dyDescent="0.2">
      <c r="B148" t="s">
        <v>12</v>
      </c>
      <c r="C148">
        <v>2045</v>
      </c>
      <c r="D148" s="1">
        <v>53083</v>
      </c>
    </row>
    <row r="149" spans="2:4" x14ac:dyDescent="0.2">
      <c r="B149" t="s">
        <v>13</v>
      </c>
      <c r="C149">
        <v>2045</v>
      </c>
      <c r="D149" s="1">
        <v>53321</v>
      </c>
    </row>
    <row r="150" spans="2:4" x14ac:dyDescent="0.2">
      <c r="B150" t="s">
        <v>14</v>
      </c>
      <c r="C150">
        <v>2045</v>
      </c>
      <c r="D150" s="1">
        <v>53322</v>
      </c>
    </row>
    <row r="151" spans="2:4" x14ac:dyDescent="0.2">
      <c r="B151" t="s">
        <v>1</v>
      </c>
      <c r="C151">
        <v>2046</v>
      </c>
      <c r="D151" s="1">
        <v>53328</v>
      </c>
    </row>
    <row r="152" spans="2:4" x14ac:dyDescent="0.2">
      <c r="B152" t="s">
        <v>2</v>
      </c>
      <c r="C152">
        <v>2046</v>
      </c>
      <c r="D152" s="1">
        <v>53409</v>
      </c>
    </row>
    <row r="153" spans="2:4" x14ac:dyDescent="0.2">
      <c r="B153" t="s">
        <v>11</v>
      </c>
      <c r="C153">
        <v>2046</v>
      </c>
      <c r="D153" s="1">
        <v>53412</v>
      </c>
    </row>
    <row r="154" spans="2:4" x14ac:dyDescent="0.2">
      <c r="B154" t="s">
        <v>12</v>
      </c>
      <c r="C154">
        <v>2046</v>
      </c>
      <c r="D154" s="1">
        <v>53448</v>
      </c>
    </row>
    <row r="155" spans="2:4" x14ac:dyDescent="0.2">
      <c r="B155" t="s">
        <v>13</v>
      </c>
      <c r="C155">
        <v>2046</v>
      </c>
      <c r="D155" s="1">
        <v>53686</v>
      </c>
    </row>
    <row r="156" spans="2:4" x14ac:dyDescent="0.2">
      <c r="B156" t="s">
        <v>14</v>
      </c>
      <c r="C156">
        <v>2046</v>
      </c>
      <c r="D156" s="1">
        <v>53687</v>
      </c>
    </row>
    <row r="157" spans="2:4" x14ac:dyDescent="0.2">
      <c r="B157" t="s">
        <v>1</v>
      </c>
      <c r="C157">
        <v>2047</v>
      </c>
      <c r="D157" s="1">
        <v>53693</v>
      </c>
    </row>
    <row r="158" spans="2:4" x14ac:dyDescent="0.2">
      <c r="B158" t="s">
        <v>2</v>
      </c>
      <c r="C158">
        <v>2047</v>
      </c>
      <c r="D158" s="1">
        <v>53794</v>
      </c>
    </row>
    <row r="159" spans="2:4" x14ac:dyDescent="0.2">
      <c r="B159" t="s">
        <v>11</v>
      </c>
      <c r="C159">
        <v>2047</v>
      </c>
      <c r="D159" s="1">
        <v>53797</v>
      </c>
    </row>
    <row r="160" spans="2:4" x14ac:dyDescent="0.2">
      <c r="B160" t="s">
        <v>12</v>
      </c>
      <c r="C160">
        <v>2047</v>
      </c>
      <c r="D160" s="1">
        <v>53813</v>
      </c>
    </row>
    <row r="161" spans="2:4" x14ac:dyDescent="0.2">
      <c r="B161" t="s">
        <v>13</v>
      </c>
      <c r="C161">
        <v>2047</v>
      </c>
      <c r="D161" s="1">
        <v>54051</v>
      </c>
    </row>
    <row r="162" spans="2:4" x14ac:dyDescent="0.2">
      <c r="B162" t="s">
        <v>14</v>
      </c>
      <c r="C162">
        <v>2047</v>
      </c>
      <c r="D162" s="1">
        <v>54052</v>
      </c>
    </row>
    <row r="163" spans="2:4" x14ac:dyDescent="0.2">
      <c r="B163" t="s">
        <v>1</v>
      </c>
      <c r="C163">
        <v>2048</v>
      </c>
      <c r="D163" s="1">
        <v>54058</v>
      </c>
    </row>
    <row r="164" spans="2:4" x14ac:dyDescent="0.2">
      <c r="B164" t="s">
        <v>2</v>
      </c>
      <c r="C164">
        <v>2048</v>
      </c>
      <c r="D164" s="1">
        <v>54151</v>
      </c>
    </row>
    <row r="165" spans="2:4" x14ac:dyDescent="0.2">
      <c r="B165" t="s">
        <v>11</v>
      </c>
      <c r="C165">
        <v>2048</v>
      </c>
      <c r="D165" s="1">
        <v>54154</v>
      </c>
    </row>
    <row r="166" spans="2:4" x14ac:dyDescent="0.2">
      <c r="B166" t="s">
        <v>12</v>
      </c>
      <c r="C166">
        <v>2048</v>
      </c>
      <c r="D166" s="1">
        <v>54179</v>
      </c>
    </row>
    <row r="167" spans="2:4" x14ac:dyDescent="0.2">
      <c r="B167" t="s">
        <v>13</v>
      </c>
      <c r="C167">
        <v>2048</v>
      </c>
      <c r="D167" s="1">
        <v>54417</v>
      </c>
    </row>
    <row r="168" spans="2:4" x14ac:dyDescent="0.2">
      <c r="B168" t="s">
        <v>14</v>
      </c>
      <c r="C168">
        <v>2048</v>
      </c>
      <c r="D168" s="1">
        <v>54418</v>
      </c>
    </row>
    <row r="169" spans="2:4" x14ac:dyDescent="0.2">
      <c r="B169" t="s">
        <v>1</v>
      </c>
      <c r="C169">
        <v>2049</v>
      </c>
      <c r="D169" s="1">
        <v>54424</v>
      </c>
    </row>
    <row r="170" spans="2:4" x14ac:dyDescent="0.2">
      <c r="B170" t="s">
        <v>2</v>
      </c>
      <c r="C170">
        <v>2049</v>
      </c>
      <c r="D170" s="1">
        <v>54529</v>
      </c>
    </row>
    <row r="171" spans="2:4" x14ac:dyDescent="0.2">
      <c r="B171" t="s">
        <v>11</v>
      </c>
      <c r="C171">
        <v>2049</v>
      </c>
      <c r="D171" s="1">
        <v>54532</v>
      </c>
    </row>
    <row r="172" spans="2:4" x14ac:dyDescent="0.2">
      <c r="B172" t="s">
        <v>12</v>
      </c>
      <c r="C172">
        <v>2049</v>
      </c>
      <c r="D172" s="1">
        <v>54544</v>
      </c>
    </row>
    <row r="173" spans="2:4" x14ac:dyDescent="0.2">
      <c r="B173" t="s">
        <v>13</v>
      </c>
      <c r="C173">
        <v>2049</v>
      </c>
      <c r="D173" s="1">
        <v>54782</v>
      </c>
    </row>
    <row r="174" spans="2:4" x14ac:dyDescent="0.2">
      <c r="B174" t="s">
        <v>14</v>
      </c>
      <c r="C174">
        <v>2049</v>
      </c>
      <c r="D174" s="1">
        <v>54783</v>
      </c>
    </row>
    <row r="175" spans="2:4" x14ac:dyDescent="0.2">
      <c r="B175" t="s">
        <v>1</v>
      </c>
      <c r="C175">
        <v>2050</v>
      </c>
      <c r="D175" s="1">
        <v>54789</v>
      </c>
    </row>
    <row r="176" spans="2:4" x14ac:dyDescent="0.2">
      <c r="B176" t="s">
        <v>2</v>
      </c>
      <c r="C176">
        <v>2050</v>
      </c>
      <c r="D176" s="1">
        <v>54886</v>
      </c>
    </row>
    <row r="177" spans="2:4" x14ac:dyDescent="0.2">
      <c r="B177" t="s">
        <v>11</v>
      </c>
      <c r="C177">
        <v>2050</v>
      </c>
      <c r="D177" s="1">
        <v>54889</v>
      </c>
    </row>
    <row r="178" spans="2:4" x14ac:dyDescent="0.2">
      <c r="B178" t="s">
        <v>12</v>
      </c>
      <c r="C178">
        <v>2050</v>
      </c>
      <c r="D178" s="1">
        <v>54909</v>
      </c>
    </row>
    <row r="179" spans="2:4" x14ac:dyDescent="0.2">
      <c r="B179" t="s">
        <v>13</v>
      </c>
      <c r="C179">
        <v>2050</v>
      </c>
      <c r="D179" s="1">
        <v>55147</v>
      </c>
    </row>
    <row r="180" spans="2:4" x14ac:dyDescent="0.2">
      <c r="B180" t="s">
        <v>14</v>
      </c>
      <c r="C180">
        <v>2050</v>
      </c>
      <c r="D180" s="1">
        <v>55148</v>
      </c>
    </row>
    <row r="181" spans="2:4" x14ac:dyDescent="0.2">
      <c r="B181" t="s">
        <v>1</v>
      </c>
      <c r="C181">
        <v>2051</v>
      </c>
      <c r="D181" s="1">
        <v>55154</v>
      </c>
    </row>
    <row r="182" spans="2:4" x14ac:dyDescent="0.2">
      <c r="B182" t="s">
        <v>2</v>
      </c>
      <c r="C182">
        <v>2051</v>
      </c>
      <c r="D182" s="1">
        <v>55243</v>
      </c>
    </row>
    <row r="183" spans="2:4" x14ac:dyDescent="0.2">
      <c r="B183" t="s">
        <v>11</v>
      </c>
      <c r="C183">
        <v>2051</v>
      </c>
      <c r="D183" s="1">
        <v>55246</v>
      </c>
    </row>
    <row r="184" spans="2:4" x14ac:dyDescent="0.2">
      <c r="B184" t="s">
        <v>12</v>
      </c>
      <c r="C184">
        <v>2051</v>
      </c>
      <c r="D184" s="1">
        <v>55274</v>
      </c>
    </row>
    <row r="185" spans="2:4" x14ac:dyDescent="0.2">
      <c r="B185" t="s">
        <v>13</v>
      </c>
      <c r="C185">
        <v>2051</v>
      </c>
      <c r="D185" s="1">
        <v>55512</v>
      </c>
    </row>
    <row r="186" spans="2:4" x14ac:dyDescent="0.2">
      <c r="B186" t="s">
        <v>14</v>
      </c>
      <c r="C186">
        <v>2051</v>
      </c>
      <c r="D186" s="1">
        <v>55513</v>
      </c>
    </row>
    <row r="187" spans="2:4" x14ac:dyDescent="0.2">
      <c r="B187" t="s">
        <v>1</v>
      </c>
      <c r="C187">
        <v>2052</v>
      </c>
      <c r="D187" s="1">
        <v>55519</v>
      </c>
    </row>
    <row r="188" spans="2:4" x14ac:dyDescent="0.2">
      <c r="B188" t="s">
        <v>2</v>
      </c>
      <c r="C188">
        <v>2052</v>
      </c>
      <c r="D188" s="1">
        <v>55628</v>
      </c>
    </row>
    <row r="189" spans="2:4" x14ac:dyDescent="0.2">
      <c r="B189" t="s">
        <v>11</v>
      </c>
      <c r="C189">
        <v>2052</v>
      </c>
      <c r="D189" s="1">
        <v>55631</v>
      </c>
    </row>
    <row r="190" spans="2:4" x14ac:dyDescent="0.2">
      <c r="B190" t="s">
        <v>12</v>
      </c>
      <c r="C190">
        <v>2052</v>
      </c>
      <c r="D190" s="1">
        <v>55640</v>
      </c>
    </row>
    <row r="191" spans="2:4" x14ac:dyDescent="0.2">
      <c r="B191" t="s">
        <v>13</v>
      </c>
      <c r="C191">
        <v>2052</v>
      </c>
      <c r="D191" s="1">
        <v>55878</v>
      </c>
    </row>
    <row r="192" spans="2:4" x14ac:dyDescent="0.2">
      <c r="B192" t="s">
        <v>14</v>
      </c>
      <c r="C192">
        <v>2052</v>
      </c>
      <c r="D192" s="1">
        <v>55879</v>
      </c>
    </row>
    <row r="193" spans="2:4" x14ac:dyDescent="0.2">
      <c r="B193" t="s">
        <v>1</v>
      </c>
      <c r="C193">
        <v>2053</v>
      </c>
      <c r="D193" s="1">
        <v>55885</v>
      </c>
    </row>
    <row r="194" spans="2:4" x14ac:dyDescent="0.2">
      <c r="B194" t="s">
        <v>2</v>
      </c>
      <c r="C194">
        <v>2053</v>
      </c>
      <c r="D194" s="1">
        <v>55978</v>
      </c>
    </row>
    <row r="195" spans="2:4" x14ac:dyDescent="0.2">
      <c r="B195" t="s">
        <v>11</v>
      </c>
      <c r="C195">
        <v>2053</v>
      </c>
      <c r="D195" s="1">
        <v>55981</v>
      </c>
    </row>
    <row r="196" spans="2:4" x14ac:dyDescent="0.2">
      <c r="B196" t="s">
        <v>12</v>
      </c>
      <c r="C196">
        <v>2053</v>
      </c>
      <c r="D196" s="1">
        <v>56005</v>
      </c>
    </row>
    <row r="197" spans="2:4" x14ac:dyDescent="0.2">
      <c r="B197" t="s">
        <v>13</v>
      </c>
      <c r="C197">
        <v>2053</v>
      </c>
      <c r="D197" s="1">
        <v>56243</v>
      </c>
    </row>
    <row r="198" spans="2:4" x14ac:dyDescent="0.2">
      <c r="B198" t="s">
        <v>14</v>
      </c>
      <c r="C198">
        <v>2053</v>
      </c>
      <c r="D198" s="1">
        <v>56244</v>
      </c>
    </row>
    <row r="199" spans="2:4" x14ac:dyDescent="0.2">
      <c r="B199" t="s">
        <v>1</v>
      </c>
      <c r="C199">
        <v>2054</v>
      </c>
      <c r="D199" s="1">
        <v>56250</v>
      </c>
    </row>
    <row r="200" spans="2:4" x14ac:dyDescent="0.2">
      <c r="B200" t="s">
        <v>2</v>
      </c>
      <c r="C200">
        <v>2054</v>
      </c>
      <c r="D200" s="1">
        <v>56335</v>
      </c>
    </row>
    <row r="201" spans="2:4" x14ac:dyDescent="0.2">
      <c r="B201" t="s">
        <v>11</v>
      </c>
      <c r="C201">
        <v>2054</v>
      </c>
      <c r="D201" s="1">
        <v>56338</v>
      </c>
    </row>
    <row r="202" spans="2:4" x14ac:dyDescent="0.2">
      <c r="B202" t="s">
        <v>12</v>
      </c>
      <c r="C202">
        <v>2054</v>
      </c>
      <c r="D202" s="1">
        <v>56370</v>
      </c>
    </row>
    <row r="203" spans="2:4" x14ac:dyDescent="0.2">
      <c r="B203" t="s">
        <v>13</v>
      </c>
      <c r="C203">
        <v>2054</v>
      </c>
      <c r="D203" s="1">
        <v>56608</v>
      </c>
    </row>
    <row r="204" spans="2:4" x14ac:dyDescent="0.2">
      <c r="B204" t="s">
        <v>14</v>
      </c>
      <c r="C204">
        <v>2054</v>
      </c>
      <c r="D204" s="1">
        <v>56609</v>
      </c>
    </row>
    <row r="205" spans="2:4" x14ac:dyDescent="0.2">
      <c r="B205" t="s">
        <v>1</v>
      </c>
      <c r="C205">
        <v>2055</v>
      </c>
      <c r="D205" s="1">
        <v>56615</v>
      </c>
    </row>
    <row r="206" spans="2:4" x14ac:dyDescent="0.2">
      <c r="B206" t="s">
        <v>2</v>
      </c>
      <c r="C206">
        <v>2055</v>
      </c>
      <c r="D206" s="1">
        <v>56720</v>
      </c>
    </row>
    <row r="207" spans="2:4" x14ac:dyDescent="0.2">
      <c r="B207" t="s">
        <v>11</v>
      </c>
      <c r="C207">
        <v>2055</v>
      </c>
      <c r="D207" s="1">
        <v>56723</v>
      </c>
    </row>
    <row r="208" spans="2:4" x14ac:dyDescent="0.2">
      <c r="B208" t="s">
        <v>12</v>
      </c>
      <c r="C208">
        <v>2055</v>
      </c>
      <c r="D208" s="1">
        <v>56735</v>
      </c>
    </row>
    <row r="209" spans="2:4" x14ac:dyDescent="0.2">
      <c r="B209" t="s">
        <v>13</v>
      </c>
      <c r="C209">
        <v>2055</v>
      </c>
      <c r="D209" s="1">
        <v>56973</v>
      </c>
    </row>
    <row r="210" spans="2:4" x14ac:dyDescent="0.2">
      <c r="B210" t="s">
        <v>14</v>
      </c>
      <c r="C210">
        <v>2055</v>
      </c>
      <c r="D210" s="1">
        <v>56974</v>
      </c>
    </row>
    <row r="211" spans="2:4" x14ac:dyDescent="0.2">
      <c r="B211" t="s">
        <v>1</v>
      </c>
      <c r="C211">
        <v>2056</v>
      </c>
      <c r="D211" s="1">
        <v>56980</v>
      </c>
    </row>
    <row r="212" spans="2:4" x14ac:dyDescent="0.2">
      <c r="B212" t="s">
        <v>2</v>
      </c>
      <c r="C212">
        <v>2056</v>
      </c>
      <c r="D212" s="1">
        <v>57070</v>
      </c>
    </row>
    <row r="213" spans="2:4" x14ac:dyDescent="0.2">
      <c r="B213" t="s">
        <v>11</v>
      </c>
      <c r="C213">
        <v>2056</v>
      </c>
      <c r="D213" s="1">
        <v>57073</v>
      </c>
    </row>
    <row r="214" spans="2:4" x14ac:dyDescent="0.2">
      <c r="B214" t="s">
        <v>12</v>
      </c>
      <c r="C214">
        <v>2056</v>
      </c>
      <c r="D214" s="1">
        <v>57101</v>
      </c>
    </row>
    <row r="215" spans="2:4" x14ac:dyDescent="0.2">
      <c r="B215" t="s">
        <v>13</v>
      </c>
      <c r="C215">
        <v>2056</v>
      </c>
      <c r="D215" s="1">
        <v>57339</v>
      </c>
    </row>
    <row r="216" spans="2:4" x14ac:dyDescent="0.2">
      <c r="B216" t="s">
        <v>14</v>
      </c>
      <c r="C216">
        <v>2056</v>
      </c>
      <c r="D216" s="1">
        <v>57340</v>
      </c>
    </row>
    <row r="217" spans="2:4" x14ac:dyDescent="0.2">
      <c r="B217" t="s">
        <v>1</v>
      </c>
      <c r="C217">
        <v>2057</v>
      </c>
      <c r="D217" s="1">
        <v>57346</v>
      </c>
    </row>
    <row r="218" spans="2:4" x14ac:dyDescent="0.2">
      <c r="B218" t="s">
        <v>2</v>
      </c>
      <c r="C218">
        <v>2057</v>
      </c>
      <c r="D218" s="1">
        <v>57455</v>
      </c>
    </row>
    <row r="219" spans="2:4" x14ac:dyDescent="0.2">
      <c r="B219" t="s">
        <v>11</v>
      </c>
      <c r="C219">
        <v>2057</v>
      </c>
      <c r="D219" s="1">
        <v>57458</v>
      </c>
    </row>
    <row r="220" spans="2:4" x14ac:dyDescent="0.2">
      <c r="B220" t="s">
        <v>12</v>
      </c>
      <c r="C220">
        <v>2057</v>
      </c>
      <c r="D220" s="1">
        <v>57466</v>
      </c>
    </row>
    <row r="221" spans="2:4" x14ac:dyDescent="0.2">
      <c r="B221" t="s">
        <v>13</v>
      </c>
      <c r="C221">
        <v>2057</v>
      </c>
      <c r="D221" s="1">
        <v>57704</v>
      </c>
    </row>
    <row r="222" spans="2:4" x14ac:dyDescent="0.2">
      <c r="B222" t="s">
        <v>14</v>
      </c>
      <c r="C222">
        <v>2057</v>
      </c>
      <c r="D222" s="1">
        <v>57705</v>
      </c>
    </row>
    <row r="223" spans="2:4" x14ac:dyDescent="0.2">
      <c r="B223" t="s">
        <v>1</v>
      </c>
      <c r="C223">
        <v>2058</v>
      </c>
      <c r="D223" s="1">
        <v>57711</v>
      </c>
    </row>
    <row r="224" spans="2:4" x14ac:dyDescent="0.2">
      <c r="B224" t="s">
        <v>2</v>
      </c>
      <c r="C224">
        <v>2058</v>
      </c>
      <c r="D224" s="1">
        <v>57812</v>
      </c>
    </row>
    <row r="225" spans="2:4" x14ac:dyDescent="0.2">
      <c r="B225" t="s">
        <v>11</v>
      </c>
      <c r="C225">
        <v>2058</v>
      </c>
      <c r="D225" s="1">
        <v>57815</v>
      </c>
    </row>
    <row r="226" spans="2:4" x14ac:dyDescent="0.2">
      <c r="B226" t="s">
        <v>12</v>
      </c>
      <c r="C226">
        <v>2058</v>
      </c>
      <c r="D226" s="1">
        <v>57831</v>
      </c>
    </row>
    <row r="227" spans="2:4" x14ac:dyDescent="0.2">
      <c r="B227" t="s">
        <v>13</v>
      </c>
      <c r="C227">
        <v>2058</v>
      </c>
      <c r="D227" s="1">
        <v>58069</v>
      </c>
    </row>
    <row r="228" spans="2:4" x14ac:dyDescent="0.2">
      <c r="B228" t="s">
        <v>14</v>
      </c>
      <c r="C228">
        <v>2058</v>
      </c>
      <c r="D228" s="1">
        <v>58070</v>
      </c>
    </row>
    <row r="229" spans="2:4" x14ac:dyDescent="0.2">
      <c r="B229" t="s">
        <v>1</v>
      </c>
      <c r="C229">
        <v>2059</v>
      </c>
      <c r="D229" s="1">
        <v>58076</v>
      </c>
    </row>
    <row r="230" spans="2:4" x14ac:dyDescent="0.2">
      <c r="B230" t="s">
        <v>2</v>
      </c>
      <c r="C230">
        <v>2059</v>
      </c>
      <c r="D230" s="1">
        <v>58162</v>
      </c>
    </row>
    <row r="231" spans="2:4" x14ac:dyDescent="0.2">
      <c r="B231" t="s">
        <v>11</v>
      </c>
      <c r="C231">
        <v>2059</v>
      </c>
      <c r="D231" s="1">
        <v>58165</v>
      </c>
    </row>
    <row r="232" spans="2:4" x14ac:dyDescent="0.2">
      <c r="B232" t="s">
        <v>12</v>
      </c>
      <c r="C232">
        <v>2059</v>
      </c>
      <c r="D232" s="1">
        <v>58196</v>
      </c>
    </row>
    <row r="233" spans="2:4" x14ac:dyDescent="0.2">
      <c r="B233" t="s">
        <v>13</v>
      </c>
      <c r="C233">
        <v>2059</v>
      </c>
      <c r="D233" s="1">
        <v>58434</v>
      </c>
    </row>
    <row r="234" spans="2:4" x14ac:dyDescent="0.2">
      <c r="B234" t="s">
        <v>14</v>
      </c>
      <c r="C234">
        <v>2059</v>
      </c>
      <c r="D234" s="1">
        <v>58435</v>
      </c>
    </row>
    <row r="235" spans="2:4" x14ac:dyDescent="0.2">
      <c r="B235" t="s">
        <v>1</v>
      </c>
      <c r="C235">
        <v>2060</v>
      </c>
      <c r="D235" s="1">
        <v>58441</v>
      </c>
    </row>
    <row r="236" spans="2:4" x14ac:dyDescent="0.2">
      <c r="B236" t="s">
        <v>2</v>
      </c>
      <c r="C236">
        <v>2060</v>
      </c>
      <c r="D236" s="1">
        <v>58547</v>
      </c>
    </row>
    <row r="237" spans="2:4" x14ac:dyDescent="0.2">
      <c r="B237" t="s">
        <v>11</v>
      </c>
      <c r="C237">
        <v>2060</v>
      </c>
      <c r="D237" s="1">
        <v>58550</v>
      </c>
    </row>
    <row r="238" spans="2:4" x14ac:dyDescent="0.2">
      <c r="B238" t="s">
        <v>12</v>
      </c>
      <c r="C238">
        <v>2060</v>
      </c>
      <c r="D238" s="1">
        <v>58562</v>
      </c>
    </row>
    <row r="239" spans="2:4" x14ac:dyDescent="0.2">
      <c r="B239" t="s">
        <v>13</v>
      </c>
      <c r="C239">
        <v>2060</v>
      </c>
      <c r="D239" s="1">
        <v>58800</v>
      </c>
    </row>
    <row r="240" spans="2:4" x14ac:dyDescent="0.2">
      <c r="B240" t="s">
        <v>14</v>
      </c>
      <c r="C240">
        <v>2060</v>
      </c>
      <c r="D240" s="1">
        <v>58801</v>
      </c>
    </row>
    <row r="241" spans="2:4" x14ac:dyDescent="0.2">
      <c r="B241" t="s">
        <v>1</v>
      </c>
      <c r="C241">
        <v>2061</v>
      </c>
      <c r="D241" s="1">
        <v>58807</v>
      </c>
    </row>
    <row r="242" spans="2:4" x14ac:dyDescent="0.2">
      <c r="B242" t="s">
        <v>2</v>
      </c>
      <c r="C242">
        <v>2061</v>
      </c>
      <c r="D242" s="1">
        <v>58904</v>
      </c>
    </row>
    <row r="243" spans="2:4" x14ac:dyDescent="0.2">
      <c r="B243" t="s">
        <v>11</v>
      </c>
      <c r="C243">
        <v>2061</v>
      </c>
      <c r="D243" s="1">
        <v>58907</v>
      </c>
    </row>
    <row r="244" spans="2:4" x14ac:dyDescent="0.2">
      <c r="B244" t="s">
        <v>12</v>
      </c>
      <c r="C244">
        <v>2061</v>
      </c>
      <c r="D244" s="1">
        <v>58927</v>
      </c>
    </row>
    <row r="245" spans="2:4" x14ac:dyDescent="0.2">
      <c r="B245" t="s">
        <v>13</v>
      </c>
      <c r="C245">
        <v>2061</v>
      </c>
      <c r="D245" s="1">
        <v>59165</v>
      </c>
    </row>
    <row r="246" spans="2:4" x14ac:dyDescent="0.2">
      <c r="B246" t="s">
        <v>14</v>
      </c>
      <c r="C246">
        <v>2061</v>
      </c>
      <c r="D246" s="1">
        <v>59166</v>
      </c>
    </row>
    <row r="247" spans="2:4" x14ac:dyDescent="0.2">
      <c r="B247" t="s">
        <v>1</v>
      </c>
      <c r="C247">
        <v>2062</v>
      </c>
      <c r="D247" s="1">
        <v>59172</v>
      </c>
    </row>
    <row r="248" spans="2:4" x14ac:dyDescent="0.2">
      <c r="B248" t="s">
        <v>2</v>
      </c>
      <c r="C248">
        <v>2062</v>
      </c>
      <c r="D248" s="1">
        <v>59254</v>
      </c>
    </row>
    <row r="249" spans="2:4" x14ac:dyDescent="0.2">
      <c r="B249" t="s">
        <v>11</v>
      </c>
      <c r="C249">
        <v>2062</v>
      </c>
      <c r="D249" s="1">
        <v>59257</v>
      </c>
    </row>
    <row r="250" spans="2:4" x14ac:dyDescent="0.2">
      <c r="B250" t="s">
        <v>12</v>
      </c>
      <c r="C250">
        <v>2062</v>
      </c>
      <c r="D250" s="1">
        <v>59292</v>
      </c>
    </row>
    <row r="251" spans="2:4" x14ac:dyDescent="0.2">
      <c r="B251" t="s">
        <v>13</v>
      </c>
      <c r="C251">
        <v>2062</v>
      </c>
      <c r="D251" s="1">
        <v>59530</v>
      </c>
    </row>
    <row r="252" spans="2:4" x14ac:dyDescent="0.2">
      <c r="B252" t="s">
        <v>14</v>
      </c>
      <c r="C252">
        <v>2062</v>
      </c>
      <c r="D252" s="1">
        <v>59531</v>
      </c>
    </row>
    <row r="253" spans="2:4" x14ac:dyDescent="0.2">
      <c r="B253" t="s">
        <v>1</v>
      </c>
      <c r="C253">
        <v>2063</v>
      </c>
      <c r="D253" s="1">
        <v>59537</v>
      </c>
    </row>
    <row r="254" spans="2:4" x14ac:dyDescent="0.2">
      <c r="B254" t="s">
        <v>2</v>
      </c>
      <c r="C254">
        <v>2063</v>
      </c>
      <c r="D254" s="1">
        <v>59639</v>
      </c>
    </row>
    <row r="255" spans="2:4" x14ac:dyDescent="0.2">
      <c r="B255" t="s">
        <v>11</v>
      </c>
      <c r="C255">
        <v>2063</v>
      </c>
      <c r="D255" s="1">
        <v>59642</v>
      </c>
    </row>
    <row r="256" spans="2:4" x14ac:dyDescent="0.2">
      <c r="B256" t="s">
        <v>12</v>
      </c>
      <c r="C256">
        <v>2063</v>
      </c>
      <c r="D256" s="1">
        <v>59657</v>
      </c>
    </row>
    <row r="257" spans="2:4" x14ac:dyDescent="0.2">
      <c r="B257" t="s">
        <v>13</v>
      </c>
      <c r="C257">
        <v>2063</v>
      </c>
      <c r="D257" s="1">
        <v>59895</v>
      </c>
    </row>
    <row r="258" spans="2:4" x14ac:dyDescent="0.2">
      <c r="B258" t="s">
        <v>14</v>
      </c>
      <c r="C258">
        <v>2063</v>
      </c>
      <c r="D258" s="1">
        <v>59896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TARGETCalendar">
                <anchor moveWithCells="1">
                  <from>
                    <xdr:col>4</xdr:col>
                    <xdr:colOff>685800</xdr:colOff>
                    <xdr:row>4</xdr:row>
                    <xdr:rowOff>114300</xdr:rowOff>
                  </from>
                  <to>
                    <xdr:col>5</xdr:col>
                    <xdr:colOff>889000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Sheet1</vt:lpstr>
      <vt:lpstr>Assesmt2_PV</vt:lpstr>
      <vt:lpstr>TARGET</vt:lpstr>
      <vt:lpstr>BdAdjusted</vt:lpstr>
      <vt:lpstr>Df</vt:lpstr>
      <vt:lpstr>Df3w</vt:lpstr>
      <vt:lpstr>DfFRAC3w</vt:lpstr>
      <vt:lpstr>Future1</vt:lpstr>
      <vt:lpstr>PricerDate</vt:lpstr>
      <vt:lpstr>Quote3w</vt:lpstr>
      <vt:lpstr>Selected</vt:lpstr>
      <vt:lpstr>Source</vt:lpstr>
      <vt:lpstr>SpotNext</vt:lpstr>
      <vt:lpstr>TABLE1</vt:lpstr>
      <vt:lpstr>TABLE2</vt:lpstr>
      <vt:lpstr>TARGETCalendar</vt:lpstr>
      <vt:lpstr>TARGETNbOfYear</vt:lpstr>
      <vt:lpstr>TARGETOutput</vt:lpstr>
      <vt:lpstr>TARGETStartYear</vt:lpstr>
      <vt:lpstr>Today</vt:lpstr>
      <vt:lpstr>UsedRate</vt:lpstr>
      <vt:lpstr>Zc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MANDIN JORDAN</dc:creator>
  <cp:lastModifiedBy>Microsoft Office User</cp:lastModifiedBy>
  <dcterms:created xsi:type="dcterms:W3CDTF">2023-01-18T12:02:25Z</dcterms:created>
  <dcterms:modified xsi:type="dcterms:W3CDTF">2023-03-06T14:49:28Z</dcterms:modified>
</cp:coreProperties>
</file>